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38c906d40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181dab32fa64ed3"/>
    <x:sheet xmlns:r="http://schemas.openxmlformats.org/officeDocument/2006/relationships" name="Current Position" sheetId="2" r:id="Rab663c8078c94e9f"/>
    <x:sheet xmlns:r="http://schemas.openxmlformats.org/officeDocument/2006/relationships" name="Assumptions" sheetId="3" r:id="R25c0b9b9331942f5"/>
    <x:sheet xmlns:r="http://schemas.openxmlformats.org/officeDocument/2006/relationships" name="Cash Flow Projection" sheetId="4" r:id="R7c67b815ca3f4408"/>
    <x:sheet xmlns:r="http://schemas.openxmlformats.org/officeDocument/2006/relationships" name="Checks" sheetId="5" r:id="Re4bab8c17cc94159"/>
    <x:sheet xmlns:r="http://schemas.openxmlformats.org/officeDocument/2006/relationships" name="Source Notes" sheetId="6" r:id="R6d2321323b3e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[Red]($#,##0);-"/>
    <x:numFmt numFmtId="201" formatCode="0"/>
    <x:numFmt numFmtId="202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74151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sz val="11"/>
      <x:color rgb="FF0000FF"/>
      <x:name val="Carlito"/>
    </x:font>
    <x:font>
      <x:i/>
      <x:sz val="11"/>
      <x:color rgb="FF7F1D1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D9EDE8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8FAFC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201" fontId="5" fillId="6" borderId="0" xfId="0" applyNumberFormat="1" applyFont="1" applyFill="1" applyBorder="1" applyAlignment="1">
      <x:alignment wrapText="1"/>
    </x:xf>
    <x:xf numFmtId="202" fontId="5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200" fontId="3" fillId="3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0" fillId="7" borderId="0" xfId="0" applyNumberFormat="1" applyFont="1" applyFill="1" applyBorder="1"/>
    <x:xf numFmtId="200" fontId="0" fillId="7" borderId="0" xfId="0" applyNumberFormat="1" applyFont="1" applyFill="1" applyBorder="1"/>
    <x:xf numFmtId="202" fontId="0" fillId="7" borderId="0" xfId="0" applyNumberFormat="1" applyFont="1" applyFill="1" applyBorder="1"/>
    <x:xf numFmtId="201" fontId="5" fillId="7" borderId="0" xfId="0" applyNumberFormat="1" applyFont="1" applyFill="1" applyBorder="1"/>
    <x:xf numFmtId="200" fontId="5" fillId="7" borderId="0" xfId="0" applyNumberFormat="1" applyFont="1" applyFill="1" applyBorder="1"/>
    <x:xf numFmtId="202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1" fontId="5" fillId="7" borderId="0" xfId="0" applyNumberFormat="1" applyFont="1" applyFill="1" applyBorder="1" applyAlignment="1">
      <x:alignment wrapText="1"/>
    </x:xf>
    <x:xf numFmtId="200" fontId="5" fillId="7" borderId="0" xfId="0" applyNumberFormat="1" applyFont="1" applyFill="1" applyBorder="1" applyAlignment="1">
      <x:alignment wrapText="1"/>
    </x:xf>
    <x:xf numFmtId="202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B1C1C"/>
      </x:font>
      <x:fill>
        <x:patternFill patternType="solid">
          <x:bgColor rgb="FFFCE4D6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7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7fe5b573d4a0b" /><Relationship Type="http://schemas.openxmlformats.org/officeDocument/2006/relationships/theme" Target="/xl/theme/theme1.xml" Id="R170de38b2f1441b4" /><Relationship Type="http://schemas.openxmlformats.org/officeDocument/2006/relationships/sharedStrings" Target="/xl/sharedStrings.xml" Id="R0676dc540cb04141" /><Relationship Type="http://schemas.openxmlformats.org/officeDocument/2006/relationships/worksheet" Target="/xl/worksheets/sheet1.xml" Id="R4181dab32fa64ed3" /><Relationship Type="http://schemas.openxmlformats.org/officeDocument/2006/relationships/worksheet" Target="/xl/worksheets/sheet2.xml" Id="Rab663c8078c94e9f" /><Relationship Type="http://schemas.openxmlformats.org/officeDocument/2006/relationships/worksheet" Target="/xl/worksheets/sheet3.xml" Id="R25c0b9b9331942f5" /><Relationship Type="http://schemas.openxmlformats.org/officeDocument/2006/relationships/worksheet" Target="/xl/worksheets/sheet4.xml" Id="R7c67b815ca3f4408" /><Relationship Type="http://schemas.openxmlformats.org/officeDocument/2006/relationships/worksheet" Target="/xl/worksheets/sheet5.xml" Id="Re4bab8c17cc94159" /><Relationship Type="http://schemas.openxmlformats.org/officeDocument/2006/relationships/worksheet" Target="/xl/worksheets/sheet6.xml" Id="R6d2321323b3e4a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2377c73d9a43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Projected Cash Movement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Ending Cash</c:v>
          </c:tx>
          <c:cat>
            <c:strRef>
              <c:f>'Cash Flow Projection'!$P$5:$P$16</c:f>
              <c:strCache>
                <c:ptCount val="0"/>
              </c:strCache>
            </c:strRef>
          </c:cat>
          <c:val>
            <c:numRef>
              <c:f>'Cash Flow Projection'!$Q$5:$Q$16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Net Cash Flow</c:v>
          </c:tx>
          <c:cat>
            <c:strRef>
              <c:f>'Cash Flow Projection'!$P$5:$P$16</c:f>
              <c:strCache>
                <c:ptCount val="0"/>
              </c:strCache>
            </c:strRef>
          </c:cat>
          <c:val>
            <c:numRef>
              <c:f>'Cash Flow Projection'!$R$5:$R$16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17</xdr:row>
      <xdr:rowOff>0</xdr:rowOff>
    </xdr:from>
    <xdr:to>
      <xdr:col>24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2377c73d9a43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ab72e75b1a64300" /></Relationships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17.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7" t="str">
        <x:v>URC / Agent Lab Founder-Stage Financial Overview</x:v>
      </x:c>
      <x:c r="B1" s="37" t="str"/>
      <x:c r="C1" s="37" t="str"/>
      <x:c r="D1" s="2" t="str"/>
      <x:c r="E1" s="2" t="str"/>
      <x:c r="F1" s="2" t="str"/>
      <x:c r="G1" s="2" t="str"/>
      <x:c r="H1" s="2" t="str"/>
    </x:row>
    <x:row r="2">
      <x:c r="A2" s="5" t="str">
        <x:v>Prepared 2026-05-24. Management-estimate package for Bootstrapper.ai / Ownable OS setup. Not audited. Not CPA-prepared.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3">
      <x:c r="A3" s="7"/>
      <x:c r="B3" s="7"/>
      <x:c r="C3" s="7"/>
    </x:row>
    <x:row r="4">
      <x:c r="A4" s="38" t="str">
        <x:v>Company</x:v>
      </x:c>
      <x:c r="B4" s="7" t="str">
        <x:v>Uncle Robert Consulting LLC / Agent Lab</x:v>
      </x:c>
      <x:c r="C4" s="7"/>
    </x:row>
    <x:row r="5">
      <x:c r="A5" s="38" t="str">
        <x:v>Owner</x:v>
      </x:c>
      <x:c r="B5" s="7" t="str">
        <x:v>Robert T. McCarthy</x:v>
      </x:c>
      <x:c r="C5" s="7"/>
    </x:row>
    <x:row r="6">
      <x:c r="A6" s="38" t="str">
        <x:v>Package scope</x:v>
      </x:c>
      <x:c r="B6" s="7" t="str">
        <x:v>Current financial position summary and 12-month cash flow projection</x:v>
      </x:c>
      <x:c r="C6" s="7"/>
    </x:row>
    <x:row r="7">
      <x:c r="A7" s="38" t="str">
        <x:v>Historical statement status</x:v>
      </x:c>
      <x:c r="B7" s="7" t="str">
        <x:v>Formal P&amp;L and balance sheet pending reconciliation</x:v>
      </x:c>
      <x:c r="C7" s="7"/>
    </x:row>
    <x:row r="8">
      <x:c r="A8" s="38" t="str">
        <x:v>Forecast basis</x:v>
      </x:c>
      <x:c r="B8" s="7" t="str">
        <x:v>Management assumptions derived from current offer ladder and operating notes</x:v>
      </x:c>
      <x:c r="C8" s="7"/>
    </x:row>
    <x:row r="9">
      <x:c r="A9" s="38" t="str">
        <x:v>Currency</x:v>
      </x:c>
      <x:c r="B9" s="7" t="str">
        <x:v>USD</x:v>
      </x:c>
      <x:c r="C9" s="7"/>
    </x:row>
    <x:row r="10">
      <x:c r="A10" s="38" t="str">
        <x:v>Forecast period</x:v>
      </x:c>
      <x:c r="B10" s="7" t="str">
        <x:v>June 2026 through May 2027</x:v>
      </x:c>
      <x:c r="C10" s="7"/>
    </x:row>
    <x:row r="11">
      <x:c r="A11" s="38" t="str">
        <x:v>Use</x:v>
      </x:c>
      <x:c r="B11" s="7" t="str">
        <x:v>Platform setup, planning, founder-stage review</x:v>
      </x:c>
      <x:c r="C11" s="7"/>
    </x:row>
    <x:row r="12">
      <x:c r="A12" s="38" t="str">
        <x:v>Limitation</x:v>
      </x:c>
      <x:c r="B12" s="7" t="str">
        <x:v>Not a substitute for reconciled accounting records, tax filing, investor diligence, or CPA review</x:v>
      </x:c>
      <x:c r="C12" s="7"/>
    </x:row>
    <x:row r="13">
      <x:c r="A13" s="7"/>
      <x:c r="B13" s="7"/>
      <x:c r="C13" s="7"/>
    </x:row>
    <x:row r="14">
      <x:c r="A14" s="10" t="str">
        <x:v>Workbook Tabs</x:v>
      </x:c>
      <x:c r="B14" s="10" t="str"/>
      <x:c r="C14" s="10" t="str"/>
      <x:c r="D14" s="10" t="str"/>
      <x:c r="E14" s="10" t="str"/>
      <x:c r="F14" s="10" t="str"/>
      <x:c r="G14" s="10" t="str"/>
      <x:c r="H14" s="10" t="str"/>
    </x:row>
    <x:row r="15">
      <x:c r="A15" s="13" t="str">
        <x:v>Cover</x:v>
      </x:c>
      <x:c r="B15" s="13" t="str">
        <x:v>Purpose, scope, and limitations</x:v>
      </x:c>
      <x:c r="C15" s="13" t="str">
        <x:v>Read first</x:v>
      </x:c>
    </x:row>
    <x:row r="16">
      <x:c r="A16" s="7" t="str">
        <x:v>Current Position</x:v>
      </x:c>
      <x:c r="B16" s="7" t="str">
        <x:v>Honest summary of what is known vs pending</x:v>
      </x:c>
      <x:c r="C16" s="7" t="str">
        <x:v>Upload-ready narrative</x:v>
      </x:c>
    </x:row>
    <x:row r="17">
      <x:c r="A17" s="7" t="str">
        <x:v>Assumptions</x:v>
      </x:c>
      <x:c r="B17" s="7" t="str">
        <x:v>Editable forecast drivers</x:v>
      </x:c>
      <x:c r="C17" s="7" t="str">
        <x:v>Blue/yellow cells should be reviewed</x:v>
      </x:c>
    </x:row>
    <x:row r="18">
      <x:c r="A18" s="7" t="str">
        <x:v>Cash Flow Projection</x:v>
      </x:c>
      <x:c r="B18" s="7" t="str">
        <x:v>12-month cash flow forecast</x:v>
      </x:c>
      <x:c r="C18" s="7" t="str">
        <x:v>Formula-driven</x:v>
      </x:c>
    </x:row>
    <x:row r="19">
      <x:c r="A19" s="7" t="str">
        <x:v>Checks</x:v>
      </x:c>
      <x:c r="B19" s="7" t="str">
        <x:v>Completeness and formula checks</x:v>
      </x:c>
      <x:c r="C19" s="7" t="str">
        <x:v>Review before sending externally</x:v>
      </x:c>
    </x:row>
    <x:row r="20">
      <x:c r="A20" s="7" t="str">
        <x:v>Source Notes</x:v>
      </x:c>
      <x:c r="B20" s="7" t="str">
        <x:v>Where inputs came from</x:v>
      </x:c>
      <x:c r="C20" s="7" t="str">
        <x:v>Audit trail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1.25" hidden="0" customWidth="1"/>
    <x:col min="3" max="3" width="45" hidden="0" customWidth="1"/>
    <x:col min="4" max="4" width="22.5" hidden="0" customWidth="1"/>
    <x:col min="5" max="5" width="22.5" hidden="0" customWidth="1"/>
    <x:col min="6" max="6" width="22.5" hidden="0" customWidth="1"/>
  </x:cols>
  <x:sheetData>
    <x:row r="1">
      <x:c r="A1" s="37" t="str">
        <x:v>Current Financial Position Summary</x:v>
      </x:c>
      <x:c r="B1" s="37" t="str"/>
      <x:c r="C1" s="37" t="str"/>
      <x:c r="D1" s="37" t="str"/>
      <x:c r="E1" s="37" t="str"/>
      <x:c r="F1" s="37" t="str"/>
      <x:c r="G1" s="2" t="str"/>
      <x:c r="H1" s="2" t="str"/>
    </x:row>
    <x:row r="2">
      <x:c r="A2" s="5" t="str">
        <x:v>Best available founder-stage position as of 2026-05-24. Amounts are intentionally conservative placeholders until bank, invoice, AR/AP, and owner contribution data are reconciled.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3">
      <x:c r="A3" s="7"/>
      <x:c r="B3" s="7"/>
      <x:c r="C3" s="7"/>
      <x:c r="D3" s="7"/>
      <x:c r="E3" s="7"/>
      <x:c r="F3" s="7"/>
    </x:row>
    <x:row r="4">
      <x:c r="A4" s="13" t="str">
        <x:v>Area</x:v>
      </x:c>
      <x:c r="B4" s="13" t="str">
        <x:v>Current Status</x:v>
      </x:c>
      <x:c r="C4" s="13" t="str">
        <x:v>What We Know</x:v>
      </x:c>
      <x:c r="D4" s="13" t="str">
        <x:v>Evidence / Source</x:v>
      </x:c>
      <x:c r="E4" s="13" t="str">
        <x:v>Next Action</x:v>
      </x:c>
      <x:c r="F4" s="13" t="str">
        <x:v>Confidence</x:v>
      </x:c>
    </x:row>
    <x:row r="5">
      <x:c r="A5" s="7" t="str">
        <x:v>Operating stage</x:v>
      </x:c>
      <x:c r="B5" s="7" t="str">
        <x:v>Active</x:v>
      </x:c>
      <x:c r="C5" s="7" t="str">
        <x:v>Founder-led, bootstrapped consulting practice moving into workflow productization and SaaS-enabled delivery.</x:v>
      </x:c>
      <x:c r="D5" s="7" t="str">
        <x:v>Vision and business overview docs</x:v>
      </x:c>
      <x:c r="E5" s="7" t="str">
        <x:v>Continue weekly operating cadence</x:v>
      </x:c>
      <x:c r="F5" s="7" t="str">
        <x:v>High</x:v>
      </x:c>
    </x:row>
    <x:row r="6">
      <x:c r="A6" s="7" t="str">
        <x:v>Revenue history</x:v>
      </x:c>
      <x:c r="B6" s="7" t="str">
        <x:v>Pending reconciliation</x:v>
      </x:c>
      <x:c r="C6" s="7" t="str">
        <x:v>Offer/pricing model exists; complete booked revenue history was not found in available finance trackers.</x:v>
      </x:c>
      <x:c r="D6" s="7" t="str">
        <x:v>Finance tracker inspection</x:v>
      </x:c>
      <x:c r="E6" s="7" t="str">
        <x:v>Export bank/Frappe/Stripe/PayPal history</x:v>
      </x:c>
      <x:c r="F6" s="7" t="str">
        <x:v>Medium</x:v>
      </x:c>
    </x:row>
    <x:row r="7">
      <x:c r="A7" s="7" t="str">
        <x:v>Cash on hand</x:v>
      </x:c>
      <x:c r="B7" s="7" t="str">
        <x:v>Unknown</x:v>
      </x:c>
      <x:c r="C7" s="7" t="str">
        <x:v>No reconciled bank balance available in workspace search.</x:v>
      </x:c>
      <x:c r="D7" s="7" t="str">
        <x:v>No bank statement located</x:v>
      </x:c>
      <x:c r="E7" s="7" t="str">
        <x:v>Enter current bank/cash balance in Assumptions</x:v>
      </x:c>
      <x:c r="F7" s="7" t="str">
        <x:v>Low</x:v>
      </x:c>
    </x:row>
    <x:row r="8">
      <x:c r="A8" s="7" t="str">
        <x:v>Accounts receivable</x:v>
      </x:c>
      <x:c r="B8" s="7" t="str">
        <x:v>Unknown / likely low</x:v>
      </x:c>
      <x:c r="C8" s="7" t="str">
        <x:v>AR/AP tracker exists but appears to be a template or mostly empty, not a reconciled live ledger.</x:v>
      </x:c>
      <x:c r="D8" s="7" t="str">
        <x:v>FIN03_AR_AP_Tracker.xlsx</x:v>
      </x:c>
      <x:c r="E8" s="7" t="str">
        <x:v>Update open invoices and expected collection dates</x:v>
      </x:c>
      <x:c r="F8" s="7" t="str">
        <x:v>Low</x:v>
      </x:c>
    </x:row>
    <x:row r="9">
      <x:c r="A9" s="7" t="str">
        <x:v>Accounts payable</x:v>
      </x:c>
      <x:c r="B9" s="7" t="str">
        <x:v>Unknown</x:v>
      </x:c>
      <x:c r="C9" s="7" t="str">
        <x:v>Invoices/files exist, but no complete payable schedule was found.</x:v>
      </x:c>
      <x:c r="D9" s="7" t="str">
        <x:v>Finance root intake files and invoices</x:v>
      </x:c>
      <x:c r="E9" s="7" t="str">
        <x:v>List open bills, due dates, and minimum payments</x:v>
      </x:c>
      <x:c r="F9" s="7" t="str">
        <x:v>Low</x:v>
      </x:c>
    </x:row>
    <x:row r="10">
      <x:c r="A10" s="7" t="str">
        <x:v>Debt</x:v>
      </x:c>
      <x:c r="B10" s="7" t="str">
        <x:v>No outside investment documented</x:v>
      </x:c>
      <x:c r="C10" s="7" t="str">
        <x:v>Source docs state zero outside investment and zero debt as of March 2026; should be re-confirmed.</x:v>
      </x:c>
      <x:c r="D10" s="7" t="str">
        <x:v>Vision &amp; Purpose source</x:v>
      </x:c>
      <x:c r="E10" s="7" t="str">
        <x:v>Confirm current liabilities and any credit obligations</x:v>
      </x:c>
      <x:c r="F10" s="7" t="str">
        <x:v>Medium</x:v>
      </x:c>
    </x:row>
    <x:row r="11">
      <x:c r="A11" s="7" t="str">
        <x:v>Core finance system</x:v>
      </x:c>
      <x:c r="B11" s="7" t="str">
        <x:v>Defined</x:v>
      </x:c>
      <x:c r="C11" s="7" t="str">
        <x:v>Frappe is the intended finance system of record.</x:v>
      </x:c>
      <x:c r="D11" s="7" t="str">
        <x:v>Operating architecture</x:v>
      </x:c>
      <x:c r="E11" s="7" t="str">
        <x:v>Keep invoice and receivable records centralized</x:v>
      </x:c>
      <x:c r="F11" s="7" t="str">
        <x:v>High</x:v>
      </x:c>
    </x:row>
    <x:row r="12">
      <x:c r="A12" s="7" t="str">
        <x:v>Financial controls</x:v>
      </x:c>
      <x:c r="B12" s="7" t="str">
        <x:v>Emerging</x:v>
      </x:c>
      <x:c r="C12" s="7" t="str">
        <x:v>Change-control, finance workflows, and weekly Friday KPI/finance review are defined.</x:v>
      </x:c>
      <x:c r="D12" s="7" t="str">
        <x:v>Governance SOP and FIN workflows</x:v>
      </x:c>
      <x:c r="E12" s="7" t="str">
        <x:v>Run Friday review consistently</x:v>
      </x:c>
      <x:c r="F12" s="7" t="str">
        <x:v>High</x:v>
      </x:c>
    </x:row>
    <x:row r="13">
      <x:c r="A13" s="7" t="str">
        <x:v>P&amp;L readiness</x:v>
      </x:c>
      <x:c r="B13" s="7" t="str">
        <x:v>Not ready for formal statement</x:v>
      </x:c>
      <x:c r="C13" s="7" t="str">
        <x:v>Revenue/expense trackers exist but do not yet provide reconciled historical actuals.</x:v>
      </x:c>
      <x:c r="D13" s="7" t="str">
        <x:v>Tracker inspection</x:v>
      </x:c>
      <x:c r="E13" s="7" t="str">
        <x:v>Reconcile bank, invoices, receipts, software spend</x:v>
      </x:c>
      <x:c r="F13" s="7" t="str">
        <x:v>Medium</x:v>
      </x:c>
    </x:row>
    <x:row r="14">
      <x:c r="A14" s="7" t="str">
        <x:v>Balance sheet readiness</x:v>
      </x:c>
      <x:c r="B14" s="7" t="str">
        <x:v>Not ready for formal statement</x:v>
      </x:c>
      <x:c r="C14" s="7" t="str">
        <x:v>Assets/liabilities/equity records are not complete enough for a true balance sheet.</x:v>
      </x:c>
      <x:c r="D14" s="7" t="str">
        <x:v>Workspace finance search</x:v>
      </x:c>
      <x:c r="E14" s="7" t="str">
        <x:v>Prepare opening balance sheet from bank/assets/liabilities</x:v>
      </x:c>
      <x:c r="F14" s="7" t="str">
        <x:v>Low</x:v>
      </x:c>
    </x:row>
    <x:row r="15">
      <x:c r="A15" s="7" t="str">
        <x:v>Projection readiness</x:v>
      </x:c>
      <x:c r="B15" s="7" t="str">
        <x:v>Ready with caveats</x:v>
      </x:c>
      <x:c r="C15" s="7" t="str">
        <x:v>Offer ladder and operating cost assumptions are enough for a planning-grade cash flow projection.</x:v>
      </x:c>
      <x:c r="D15" s="7" t="str">
        <x:v>Offer one-pager and operating docs</x:v>
      </x:c>
      <x:c r="E15" s="7" t="str">
        <x:v>Review assumptions before using externally</x:v>
      </x:c>
      <x:c r="F15" s="7" t="str">
        <x:v>Medium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17.5" hidden="0" customWidth="1"/>
    <x:col min="3" max="3" width="17.5" hidden="0" customWidth="1"/>
    <x:col min="4" max="4" width="15" hidden="0" customWidth="1"/>
    <x:col min="5" max="5" width="48.75" hidden="0" customWidth="1"/>
  </x:cols>
  <x:sheetData>
    <x:row r="1">
      <x:c r="A1" s="37" t="str">
        <x:v>Forecast Assumptions</x:v>
      </x:c>
      <x:c r="B1" s="37" t="str"/>
      <x:c r="C1" s="37" t="str"/>
      <x:c r="D1" s="37" t="str"/>
      <x:c r="E1" s="37" t="str"/>
      <x:c r="F1" s="2" t="str"/>
      <x:c r="G1" s="2" t="str"/>
      <x:c r="H1" s="2" t="str"/>
    </x:row>
    <x:row r="2">
      <x:c r="A2" s="5" t="str">
        <x:v>Editable driver sheet. Blue/yellow cells are management inputs and should be reviewed before use.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3">
      <x:c r="A3" s="7"/>
      <x:c r="B3" s="7"/>
      <x:c r="C3" s="7"/>
      <x:c r="D3" s="7"/>
      <x:c r="E3" s="7"/>
    </x:row>
    <x:row r="4">
      <x:c r="A4" s="13" t="str">
        <x:v>Assumption</x:v>
      </x:c>
      <x:c r="B4" s="13" t="str">
        <x:v>Base Value</x:v>
      </x:c>
      <x:c r="C4" s="13" t="str">
        <x:v>Downside</x:v>
      </x:c>
      <x:c r="D4" s="13" t="str">
        <x:v>Upside</x:v>
      </x:c>
      <x:c r="E4" s="13" t="str">
        <x:v>Notes</x:v>
      </x:c>
    </x:row>
    <x:row r="5">
      <x:c r="A5" s="7" t="str">
        <x:v>Starting cash balance</x:v>
      </x:c>
      <x:c r="B5" s="16" t="n">
        <x:v>0</x:v>
      </x:c>
      <x:c r="C5" s="16" t="n">
        <x:v>0</x:v>
      </x:c>
      <x:c r="D5" s="16" t="n">
        <x:v>0</x:v>
      </x:c>
      <x:c r="E5" s="7" t="str">
        <x:v>Placeholder until current bank/cash balance is entered.</x:v>
      </x:c>
    </x:row>
    <x:row r="6">
      <x:c r="A6" s="7" t="str">
        <x:v>Current known AR collection in Month 1</x:v>
      </x:c>
      <x:c r="B6" s="16" t="n">
        <x:v>0</x:v>
      </x:c>
      <x:c r="C6" s="16" t="n">
        <x:v>0</x:v>
      </x:c>
      <x:c r="D6" s="16" t="n">
        <x:v>0</x:v>
      </x:c>
      <x:c r="E6" s="7" t="str">
        <x:v>Placeholder until open invoices are reconciled.</x:v>
      </x:c>
    </x:row>
    <x:row r="7">
      <x:c r="A7" s="7" t="str">
        <x:v>Current known AP payment in Month 1</x:v>
      </x:c>
      <x:c r="B7" s="16" t="n">
        <x:v>0</x:v>
      </x:c>
      <x:c r="C7" s="16" t="n">
        <x:v>0</x:v>
      </x:c>
      <x:c r="D7" s="16" t="n">
        <x:v>0</x:v>
      </x:c>
      <x:c r="E7" s="7" t="str">
        <x:v>Placeholder until open bills are reconciled.</x:v>
      </x:c>
    </x:row>
    <x:row r="8">
      <x:c r="A8" s="7" t="str">
        <x:v>Setup sprint price</x:v>
      </x:c>
      <x:c r="B8" s="16" t="n">
        <x:v>1000</x:v>
      </x:c>
      <x:c r="C8" s="16" t="n">
        <x:v>1000</x:v>
      </x:c>
      <x:c r="D8" s="16" t="n">
        <x:v>1000</x:v>
      </x:c>
      <x:c r="E8" s="7" t="str">
        <x:v>Founder Signal System setup sprint target from offer one-pager.</x:v>
      </x:c>
    </x:row>
    <x:row r="9">
      <x:c r="A9" s="7" t="str">
        <x:v>Beta subscription price / month</x:v>
      </x:c>
      <x:c r="B9" s="16" t="n">
        <x:v>97</x:v>
      </x:c>
      <x:c r="C9" s="16" t="n">
        <x:v>97</x:v>
      </x:c>
      <x:c r="D9" s="16" t="n">
        <x:v>97</x:v>
      </x:c>
      <x:c r="E9" s="7" t="str">
        <x:v>Founder Signal System beta pricing direction.</x:v>
      </x:c>
    </x:row>
    <x:row r="10">
      <x:c r="A10" s="7" t="str">
        <x:v>Jumpstart price</x:v>
      </x:c>
      <x:c r="B10" s="18" t="n">
        <x:v>500</x:v>
      </x:c>
      <x:c r="C10" s="18" t="n">
        <x:v>500</x:v>
      </x:c>
      <x:c r="D10" s="18" t="n">
        <x:v>500</x:v>
      </x:c>
      <x:c r="E10" s="7" t="str">
        <x:v>AI Jumpstart price from Vision &amp; Purpose source.</x:v>
      </x:c>
    </x:row>
    <x:row r="11">
      <x:c r="A11" s="7" t="str">
        <x:v>Growth Pod price</x:v>
      </x:c>
      <x:c r="B11" s="16" t="n">
        <x:v>1500</x:v>
      </x:c>
      <x:c r="C11" s="16" t="n">
        <x:v>1500</x:v>
      </x:c>
      <x:c r="D11" s="16" t="n">
        <x:v>1500</x:v>
      </x:c>
      <x:c r="E11" s="7" t="str">
        <x:v>AI Growth Pod price from Vision &amp; Purpose source.</x:v>
      </x:c>
    </x:row>
    <x:row r="12">
      <x:c r="A12" s="7" t="str">
        <x:v>Retainer price / month</x:v>
      </x:c>
      <x:c r="B12" s="17" t="n">
        <x:v>1500</x:v>
      </x:c>
      <x:c r="C12" s="17" t="n">
        <x:v>1000</x:v>
      </x:c>
      <x:c r="D12" s="17" t="n">
        <x:v>2000</x:v>
      </x:c>
      <x:c r="E12" s="7" t="str">
        <x:v>Midpoint of $1,000-$2,000 consulting retainer range.</x:v>
      </x:c>
    </x:row>
    <x:row r="13">
      <x:c r="A13" s="7" t="str">
        <x:v>Monthly baseline tool/admin costs</x:v>
      </x:c>
      <x:c r="B13" s="17" t="n">
        <x:v>225</x:v>
      </x:c>
      <x:c r="C13" s="17" t="n">
        <x:v>150</x:v>
      </x:c>
      <x:c r="D13" s="17" t="n">
        <x:v>350</x:v>
      </x:c>
      <x:c r="E13" s="7" t="str">
        <x:v>Management estimate pending software spend reconciliation.</x:v>
      </x:c>
    </x:row>
    <x:row r="14">
      <x:c r="A14" s="7" t="str">
        <x:v>Variable delivery cost rate</x:v>
      </x:c>
      <x:c r="B14" s="17" t="n">
        <x:v>0.15</x:v>
      </x:c>
      <x:c r="C14" s="17" t="n">
        <x:v>0.1</x:v>
      </x:c>
      <x:c r="D14" s="17" t="n">
        <x:v>0.25</x:v>
      </x:c>
      <x:c r="E14" s="7" t="str">
        <x:v>Estimated fulfillment/support cost as % of collected revenue.</x:v>
      </x:c>
    </x:row>
    <x:row r="15">
      <x:c r="A15" s="7" t="str">
        <x:v>Owner draw / survival draw</x:v>
      </x:c>
      <x:c r="B15" s="17" t="n">
        <x:v>0</x:v>
      </x:c>
      <x:c r="C15" s="17" t="n">
        <x:v>0</x:v>
      </x:c>
      <x:c r="D15" s="17" t="n">
        <x:v>0</x:v>
      </x:c>
      <x:c r="E15" s="7" t="str">
        <x:v>Set when Robert decides draw requirement for planning.</x:v>
      </x:c>
    </x:row>
    <x:row r="16">
      <x:c r="A16" s="7" t="str">
        <x:v>Month 1 setup sprints</x:v>
      </x:c>
      <x:c r="B16" s="17" t="n">
        <x:v>0</x:v>
      </x:c>
      <x:c r="C16" s="17" t="n">
        <x:v>0</x:v>
      </x:c>
      <x:c r="D16" s="17" t="n">
        <x:v>1</x:v>
      </x:c>
      <x:c r="E16" s="7" t="str">
        <x:v>Conservative until active lead flow converts.</x:v>
      </x:c>
    </x:row>
    <x:row r="17">
      <x:c r="A17" s="7" t="str">
        <x:v>Month 1 active beta subscriptions</x:v>
      </x:c>
      <x:c r="B17" s="17" t="n">
        <x:v>0</x:v>
      </x:c>
      <x:c r="C17" s="17" t="n">
        <x:v>0</x:v>
      </x:c>
      <x:c r="D17" s="17" t="n">
        <x:v>1</x:v>
      </x:c>
      <x:c r="E17" s="7" t="str">
        <x:v>Current beta launch stage assumption.</x:v>
      </x:c>
    </x:row>
    <x:row r="18">
      <x:c r="A18" s="7" t="str">
        <x:v>Month 1 retainers</x:v>
      </x:c>
      <x:c r="B18" s="15" t="n">
        <x:v>0</x:v>
      </x:c>
      <x:c r="C18" s="15" t="n">
        <x:v>0</x:v>
      </x:c>
      <x:c r="D18" s="15" t="n">
        <x:v>0</x:v>
      </x:c>
      <x:c r="E18" s="7" t="str">
        <x:v>No current active retainer ledger found in workspace.</x:v>
      </x:c>
    </x:row>
    <x:row r="19">
      <x:c r="A19" s="7" t="str">
        <x:v>Setup sprint growth every 3 months</x:v>
      </x:c>
      <x:c r="B19" s="15" t="n">
        <x:v>1</x:v>
      </x:c>
      <x:c r="C19" s="15" t="n">
        <x:v>0</x:v>
      </x:c>
      <x:c r="D19" s="15" t="n">
        <x:v>1</x:v>
      </x:c>
      <x:c r="E19" s="7" t="str">
        <x:v>Adds capacity/traction in Months 4, 7, and 10 in base/upside.</x:v>
      </x:c>
    </x:row>
    <x:row r="20">
      <x:c r="A20" s="7" t="str">
        <x:v>Beta subscription adds per month</x:v>
      </x:c>
      <x:c r="B20" s="15" t="n">
        <x:v>1</x:v>
      </x:c>
      <x:c r="C20" s="15" t="n">
        <x:v>0</x:v>
      </x:c>
      <x:c r="D20" s="15" t="n">
        <x:v>2</x:v>
      </x:c>
      <x:c r="E20" s="7" t="str">
        <x:v>Simple linear add assumption after beta launch.</x:v>
      </x:c>
    </x:row>
    <x:row r="21">
      <x:c r="A21" s="7" t="str">
        <x:v>Retainer adds every 6 months</x:v>
      </x:c>
      <x:c r="B21" s="15" t="n">
        <x:v>1</x:v>
      </x:c>
      <x:c r="C21" s="15" t="n">
        <x:v>0</x:v>
      </x:c>
      <x:c r="D21" s="15" t="n">
        <x:v>1</x:v>
      </x:c>
      <x:c r="E21" s="7" t="str">
        <x:v>Adds a retainer in Month 7 for base/upside.</x:v>
      </x:c>
    </x:row>
    <x:row r="22">
      <x:c r="A22" s="7" t="str">
        <x:v>Conservative cash runway threshold</x:v>
      </x:c>
      <x:c r="B22" s="16" t="n">
        <x:v>500</x:v>
      </x:c>
      <x:c r="C22" s="16" t="n">
        <x:v>500</x:v>
      </x:c>
      <x:c r="D22" s="16" t="n">
        <x:v>1000</x:v>
      </x:c>
      <x:c r="E22" s="7" t="str">
        <x:v>Threshold used for status flags.</x:v>
      </x:c>
    </x:row>
    <x:row r="23">
      <x:c r="A23" s="7" t="str">
        <x:v>Scenario used in Cash Flow sheet</x:v>
      </x:c>
      <x:c r="B23" s="15" t="str">
        <x:v>Base</x:v>
      </x:c>
      <x:c r="C23" s="15" t="str">
        <x:v>Downside</x:v>
      </x:c>
      <x:c r="D23" s="15" t="str">
        <x:v>Upside</x:v>
      </x:c>
      <x:c r="E23" s="7" t="str">
        <x:v>Change formulas manually if a scenario-specific model is needed.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4" max="14" width="15" hidden="0" customWidth="1"/>
  </x:cols>
  <x:sheetData>
    <x:row r="1">
      <x:c r="A1" s="37" t="str">
        <x:v>12-Month Cash Flow Projection</x:v>
      </x:c>
      <x:c r="B1" s="37" t="str"/>
      <x:c r="C1" s="37" t="str"/>
      <x:c r="D1" s="37" t="str"/>
      <x:c r="E1" s="37" t="str"/>
      <x:c r="F1" s="37" t="str"/>
      <x:c r="G1" s="37" t="str"/>
      <x:c r="H1" s="37" t="str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>
      <x:c r="A2" s="5" t="str">
        <x:v>Planning-grade forecast using current offer assumptions. Replace placeholders with reconciled actuals when available.</x:v>
      </x:c>
      <x:c r="B2" s="5" t="str"/>
      <x:c r="C2" s="5" t="str"/>
      <x:c r="D2" s="5" t="str"/>
      <x:c r="E2" s="5" t="str"/>
      <x:c r="F2" s="5" t="str"/>
      <x:c r="G2" s="5" t="str"/>
      <x:c r="H2" s="5" t="str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</x:row>
    <x:row r="4">
      <x:c r="A4" s="13" t="str">
        <x:v>Line Item</x:v>
      </x:c>
      <x:c r="B4" s="13" t="str">
        <x:v>Jun-26</x:v>
      </x:c>
      <x:c r="C4" s="13" t="str">
        <x:v>Jul-26</x:v>
      </x:c>
      <x:c r="D4" s="13" t="str">
        <x:v>Aug-26</x:v>
      </x:c>
      <x:c r="E4" s="13" t="str">
        <x:v>Sep-26</x:v>
      </x:c>
      <x:c r="F4" s="13" t="str">
        <x:v>Oct-26</x:v>
      </x:c>
      <x:c r="G4" s="13" t="str">
        <x:v>Nov-26</x:v>
      </x:c>
      <x:c r="H4" s="13" t="str">
        <x:v>Dec-26</x:v>
      </x:c>
      <x:c r="I4" s="13" t="str">
        <x:v>Jan-27</x:v>
      </x:c>
      <x:c r="J4" s="13" t="str">
        <x:v>Feb-27</x:v>
      </x:c>
      <x:c r="K4" s="13" t="str">
        <x:v>Mar-27</x:v>
      </x:c>
      <x:c r="L4" s="13" t="str">
        <x:v>Apr-27</x:v>
      </x:c>
      <x:c r="M4" s="13" t="str">
        <x:v>May-27</x:v>
      </x:c>
      <x:c r="N4" s="13" t="str">
        <x:v>Total</x:v>
      </x:c>
      <x:c r="O4" s="7"/>
      <x:c r="P4" s="13" t="str">
        <x:v>Month</x:v>
      </x:c>
      <x:c r="Q4" s="13" t="str">
        <x:v>Ending Cash</x:v>
      </x:c>
      <x:c r="R4" s="13" t="str">
        <x:v>Net Cash Flow</x:v>
      </x:c>
    </x:row>
    <x:row r="5">
      <x:c r="A5" s="7" t="str">
        <x:v>Beginning Cash</x:v>
      </x:c>
      <x:c r="B5" s="36" t="n">
        <x:f>Assumptions!B5</x:f>
        <x:v>0</x:v>
      </x:c>
      <x:c r="C5" s="36" t="n">
        <x:f>B20</x:f>
        <x:v>-225</x:v>
      </x:c>
      <x:c r="D5" s="36" t="n">
        <x:f>C20</x:f>
        <x:v>-367.55</x:v>
      </x:c>
      <x:c r="E5" s="36" t="n">
        <x:f>D20</x:f>
        <x:v>-427.65</x:v>
      </x:c>
      <x:c r="F5" s="36" t="n">
        <x:f>E20</x:f>
        <x:v>444.70000000000005</x:v>
      </x:c>
      <x:c r="G5" s="36" t="n">
        <x:f>F20</x:f>
        <x:v>1399.5</x:v>
      </x:c>
      <x:c r="H5" s="36" t="n">
        <x:f>G20</x:f>
        <x:v>2436.75</x:v>
      </x:c>
      <x:c r="I5" s="36" t="n">
        <x:f>H20</x:f>
        <x:v>5681.45</x:v>
      </x:c>
      <x:c r="J5" s="36" t="n">
        <x:f>I20</x:f>
        <x:v>9008.6</x:v>
      </x:c>
      <x:c r="K5" s="36" t="n">
        <x:f>J20</x:f>
        <x:v>12418.2</x:v>
      </x:c>
      <x:c r="L5" s="36" t="n">
        <x:f>K20</x:f>
        <x:v>16760.25</x:v>
      </x:c>
      <x:c r="M5" s="36" t="n">
        <x:f>L20</x:f>
        <x:v>21184.75</x:v>
      </x:c>
      <x:c r="N5" s="7"/>
      <x:c r="O5" s="7"/>
      <x:c r="P5" s="7" t="str">
        <x:f>B4</x:f>
        <x:v>Jun-26</x:v>
      </x:c>
      <x:c r="Q5" s="36" t="n">
        <x:f>B20</x:f>
        <x:v>-225</x:v>
      </x:c>
      <x:c r="R5" s="36" t="n">
        <x:f>B19</x:f>
        <x:v>-225</x:v>
      </x:c>
    </x:row>
    <x:row r="6">
      <x:c r="A6" s="7" t="str">
        <x:v>Known AR Collection</x:v>
      </x:c>
      <x:c r="B6" s="36" t="n">
        <x:f>Assumptions!B6</x:f>
        <x:v>0</x:v>
      </x:c>
      <x:c r="C6" s="36" t="n">
        <x:v>0</x:v>
      </x:c>
      <x:c r="D6" s="36" t="n">
        <x:v>0</x:v>
      </x:c>
      <x:c r="E6" s="36" t="n">
        <x:v>0</x:v>
      </x:c>
      <x:c r="F6" s="36" t="n">
        <x:v>0</x:v>
      </x:c>
      <x:c r="G6" s="36" t="n">
        <x:v>0</x:v>
      </x:c>
      <x:c r="H6" s="36" t="n">
        <x:v>0</x:v>
      </x:c>
      <x:c r="I6" s="36" t="n">
        <x:v>0</x:v>
      </x:c>
      <x:c r="J6" s="36" t="n">
        <x:v>0</x:v>
      </x:c>
      <x:c r="K6" s="36" t="n">
        <x:v>0</x:v>
      </x:c>
      <x:c r="L6" s="36" t="n">
        <x:v>0</x:v>
      </x:c>
      <x:c r="M6" s="36" t="n">
        <x:v>0</x:v>
      </x:c>
      <x:c r="N6" s="36" t="n">
        <x:f>SUM(B6:M6)</x:f>
        <x:v>0</x:v>
      </x:c>
      <x:c r="O6" s="7"/>
      <x:c r="P6" s="7" t="str">
        <x:f>C4</x:f>
        <x:v>Jul-26</x:v>
      </x:c>
      <x:c r="Q6" s="36" t="n">
        <x:f>C20</x:f>
        <x:v>-367.55</x:v>
      </x:c>
      <x:c r="R6" s="36" t="n">
        <x:f>C19</x:f>
        <x:v>-142.55</x:v>
      </x:c>
    </x:row>
    <x:row r="7">
      <x:c r="A7" s="7" t="str">
        <x:v>Setup Sprint Revenue</x:v>
      </x:c>
      <x:c r="B7" s="36" t="n">
        <x:f>B23*B26</x:f>
        <x:v>0</x:v>
      </x:c>
      <x:c r="C7" s="36" t="n">
        <x:f>C23*C26</x:f>
        <x:v>0</x:v>
      </x:c>
      <x:c r="D7" s="36" t="n">
        <x:f>D23*D26</x:f>
        <x:v>0</x:v>
      </x:c>
      <x:c r="E7" s="36" t="n">
        <x:f>E23*E26</x:f>
        <x:v>1000</x:v>
      </x:c>
      <x:c r="F7" s="36" t="n">
        <x:f>F23*F26</x:f>
        <x:v>1000</x:v>
      </x:c>
      <x:c r="G7" s="36" t="n">
        <x:f>G23*G26</x:f>
        <x:v>1000</x:v>
      </x:c>
      <x:c r="H7" s="36" t="n">
        <x:f>H23*H26</x:f>
        <x:v>2000</x:v>
      </x:c>
      <x:c r="I7" s="36" t="n">
        <x:f>I23*I26</x:f>
        <x:v>2000</x:v>
      </x:c>
      <x:c r="J7" s="36" t="n">
        <x:f>J23*J26</x:f>
        <x:v>2000</x:v>
      </x:c>
      <x:c r="K7" s="36" t="n">
        <x:f>K23*K26</x:f>
        <x:v>3000</x:v>
      </x:c>
      <x:c r="L7" s="36" t="n">
        <x:f>L23*L26</x:f>
        <x:v>3000</x:v>
      </x:c>
      <x:c r="M7" s="36" t="n">
        <x:f>M23*M26</x:f>
        <x:v>3000</x:v>
      </x:c>
      <x:c r="N7" s="36" t="n">
        <x:f>SUM(B7:M7)</x:f>
        <x:v>18000</x:v>
      </x:c>
      <x:c r="O7" s="7"/>
      <x:c r="P7" s="7" t="str">
        <x:f>D4</x:f>
        <x:v>Aug-26</x:v>
      </x:c>
      <x:c r="Q7" s="36" t="n">
        <x:f>D20</x:f>
        <x:v>-427.65</x:v>
      </x:c>
      <x:c r="R7" s="36" t="n">
        <x:f>D19</x:f>
        <x:v>-60.099999999999994</x:v>
      </x:c>
    </x:row>
    <x:row r="8">
      <x:c r="A8" s="7" t="str">
        <x:v>Beta Subscription Revenue</x:v>
      </x:c>
      <x:c r="B8" s="36" t="n">
        <x:f>B24*B27</x:f>
        <x:v>0</x:v>
      </x:c>
      <x:c r="C8" s="36" t="n">
        <x:f>C24*C27</x:f>
        <x:v>97</x:v>
      </x:c>
      <x:c r="D8" s="36" t="n">
        <x:f>D24*D27</x:f>
        <x:v>194</x:v>
      </x:c>
      <x:c r="E8" s="36" t="n">
        <x:f>E24*E27</x:f>
        <x:v>291</x:v>
      </x:c>
      <x:c r="F8" s="36" t="n">
        <x:f>F24*F27</x:f>
        <x:v>388</x:v>
      </x:c>
      <x:c r="G8" s="36" t="n">
        <x:f>G24*G27</x:f>
        <x:v>485</x:v>
      </x:c>
      <x:c r="H8" s="36" t="n">
        <x:f>H24*H27</x:f>
        <x:v>582</x:v>
      </x:c>
      <x:c r="I8" s="36" t="n">
        <x:f>I24*I27</x:f>
        <x:v>679</x:v>
      </x:c>
      <x:c r="J8" s="36" t="n">
        <x:f>J24*J27</x:f>
        <x:v>776</x:v>
      </x:c>
      <x:c r="K8" s="36" t="n">
        <x:f>K24*K27</x:f>
        <x:v>873</x:v>
      </x:c>
      <x:c r="L8" s="36" t="n">
        <x:f>L24*L27</x:f>
        <x:v>970</x:v>
      </x:c>
      <x:c r="M8" s="36" t="n">
        <x:f>M24*M27</x:f>
        <x:v>1067</x:v>
      </x:c>
      <x:c r="N8" s="36" t="n">
        <x:f>SUM(B8:M8)</x:f>
        <x:v>6402</x:v>
      </x:c>
      <x:c r="O8" s="7"/>
      <x:c r="P8" s="7" t="str">
        <x:f>E4</x:f>
        <x:v>Sep-26</x:v>
      </x:c>
      <x:c r="Q8" s="36" t="n">
        <x:f>E20</x:f>
        <x:v>444.70000000000005</x:v>
      </x:c>
      <x:c r="R8" s="36" t="n">
        <x:f>E19</x:f>
        <x:v>872.35</x:v>
      </x:c>
    </x:row>
    <x:row r="9">
      <x:c r="A9" s="7" t="str">
        <x:v>Retainer Revenue</x:v>
      </x:c>
      <x:c r="B9" s="36" t="n">
        <x:f>B25*B28</x:f>
        <x:v>0</x:v>
      </x:c>
      <x:c r="C9" s="36" t="n">
        <x:f>C25*C28</x:f>
        <x:v>0</x:v>
      </x:c>
      <x:c r="D9" s="36" t="n">
        <x:f>D25*D28</x:f>
        <x:v>0</x:v>
      </x:c>
      <x:c r="E9" s="36" t="n">
        <x:f>E25*E28</x:f>
        <x:v>0</x:v>
      </x:c>
      <x:c r="F9" s="36" t="n">
        <x:f>F25*F28</x:f>
        <x:v>0</x:v>
      </x:c>
      <x:c r="G9" s="36" t="n">
        <x:f>G25*G28</x:f>
        <x:v>0</x:v>
      </x:c>
      <x:c r="H9" s="36" t="n">
        <x:f>H25*H28</x:f>
        <x:v>1500</x:v>
      </x:c>
      <x:c r="I9" s="36" t="n">
        <x:f>I25*I28</x:f>
        <x:v>1500</x:v>
      </x:c>
      <x:c r="J9" s="36" t="n">
        <x:f>J25*J28</x:f>
        <x:v>1500</x:v>
      </x:c>
      <x:c r="K9" s="36" t="n">
        <x:f>K25*K28</x:f>
        <x:v>1500</x:v>
      </x:c>
      <x:c r="L9" s="36" t="n">
        <x:f>L25*L28</x:f>
        <x:v>1500</x:v>
      </x:c>
      <x:c r="M9" s="36" t="n">
        <x:f>M25*M28</x:f>
        <x:v>1500</x:v>
      </x:c>
      <x:c r="N9" s="36" t="n">
        <x:f>SUM(B9:M9)</x:f>
        <x:v>9000</x:v>
      </x:c>
      <x:c r="O9" s="7"/>
      <x:c r="P9" s="7" t="str">
        <x:f>F4</x:f>
        <x:v>Oct-26</x:v>
      </x:c>
      <x:c r="Q9" s="36" t="n">
        <x:f>F20</x:f>
        <x:v>1399.5</x:v>
      </x:c>
      <x:c r="R9" s="36" t="n">
        <x:f>F19</x:f>
        <x:v>954.8</x:v>
      </x:c>
    </x:row>
    <x:row r="10">
      <x:c r="A10" s="7" t="str">
        <x:v>Jumpstart / Growth Pod Revenue</x:v>
      </x:c>
      <x:c r="B10" s="36" t="n">
        <x:v>0</x:v>
      </x:c>
      <x:c r="C10" s="36" t="n">
        <x:v>0</x:v>
      </x:c>
      <x:c r="D10" s="36" t="n">
        <x:v>0</x:v>
      </x:c>
      <x:c r="E10" s="36" t="n">
        <x:v>0</x:v>
      </x:c>
      <x:c r="F10" s="36" t="n">
        <x:v>0</x:v>
      </x:c>
      <x:c r="G10" s="36" t="n">
        <x:v>0</x:v>
      </x:c>
      <x:c r="H10" s="36" t="n">
        <x:v>0</x:v>
      </x:c>
      <x:c r="I10" s="36" t="n">
        <x:v>0</x:v>
      </x:c>
      <x:c r="J10" s="36" t="n">
        <x:v>0</x:v>
      </x:c>
      <x:c r="K10" s="36" t="n">
        <x:v>0</x:v>
      </x:c>
      <x:c r="L10" s="36" t="n">
        <x:v>0</x:v>
      </x:c>
      <x:c r="M10" s="36" t="n">
        <x:v>0</x:v>
      </x:c>
      <x:c r="N10" s="36" t="n">
        <x:f>SUM(B10:M10)</x:f>
        <x:v>0</x:v>
      </x:c>
      <x:c r="O10" s="7"/>
      <x:c r="P10" s="7" t="str">
        <x:f>G4</x:f>
        <x:v>Nov-26</x:v>
      </x:c>
      <x:c r="Q10" s="36" t="n">
        <x:f>G20</x:f>
        <x:v>2436.75</x:v>
      </x:c>
      <x:c r="R10" s="36" t="n">
        <x:f>G19</x:f>
        <x:v>1037.25</x:v>
      </x:c>
    </x:row>
    <x:row r="11">
      <x:c r="A11" s="38" t="str">
        <x:v>Total Cash In</x:v>
      </x:c>
      <x:c r="B11" s="39" t="n">
        <x:f>SUM(B6:B10)</x:f>
        <x:v>0</x:v>
      </x:c>
      <x:c r="C11" s="39" t="n">
        <x:f>SUM(C6:C10)</x:f>
        <x:v>97</x:v>
      </x:c>
      <x:c r="D11" s="39" t="n">
        <x:f>SUM(D6:D10)</x:f>
        <x:v>194</x:v>
      </x:c>
      <x:c r="E11" s="39" t="n">
        <x:f>SUM(E6:E10)</x:f>
        <x:v>1291</x:v>
      </x:c>
      <x:c r="F11" s="39" t="n">
        <x:f>SUM(F6:F10)</x:f>
        <x:v>1388</x:v>
      </x:c>
      <x:c r="G11" s="39" t="n">
        <x:f>SUM(G6:G10)</x:f>
        <x:v>1485</x:v>
      </x:c>
      <x:c r="H11" s="39" t="n">
        <x:f>SUM(H6:H10)</x:f>
        <x:v>4082</x:v>
      </x:c>
      <x:c r="I11" s="39" t="n">
        <x:f>SUM(I6:I10)</x:f>
        <x:v>4179</x:v>
      </x:c>
      <x:c r="J11" s="39" t="n">
        <x:f>SUM(J6:J10)</x:f>
        <x:v>4276</x:v>
      </x:c>
      <x:c r="K11" s="39" t="n">
        <x:f>SUM(K6:K10)</x:f>
        <x:v>5373</x:v>
      </x:c>
      <x:c r="L11" s="39" t="n">
        <x:f>SUM(L6:L10)</x:f>
        <x:v>5470</x:v>
      </x:c>
      <x:c r="M11" s="39" t="n">
        <x:f>SUM(M6:M10)</x:f>
        <x:v>5567</x:v>
      </x:c>
      <x:c r="N11" s="39" t="n">
        <x:f>SUM(B11:M11)</x:f>
        <x:v>33402</x:v>
      </x:c>
      <x:c r="O11" s="7"/>
      <x:c r="P11" s="7" t="str">
        <x:f>H4</x:f>
        <x:v>Dec-26</x:v>
      </x:c>
      <x:c r="Q11" s="36" t="n">
        <x:f>H20</x:f>
        <x:v>5681.45</x:v>
      </x:c>
      <x:c r="R11" s="36" t="n">
        <x:f>H19</x:f>
        <x:v>3244.7</x:v>
      </x:c>
    </x:row>
    <x:row r="12">
      <x:c r="A12" s="7" t="str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7"/>
      <x:c r="P12" s="7" t="str">
        <x:f>I4</x:f>
        <x:v>Jan-27</x:v>
      </x:c>
      <x:c r="Q12" s="36" t="n">
        <x:f>I20</x:f>
        <x:v>9008.6</x:v>
      </x:c>
      <x:c r="R12" s="36" t="n">
        <x:f>I19</x:f>
        <x:v>3327.15</x:v>
      </x:c>
    </x:row>
    <x:row r="13">
      <x:c r="A13" s="7" t="str">
        <x:v>Known AP Payment</x:v>
      </x:c>
      <x:c r="B13" s="36" t="n">
        <x:f>Assumptions!B7</x:f>
        <x:v>0</x:v>
      </x:c>
      <x:c r="C13" s="36" t="n">
        <x:v>0</x:v>
      </x:c>
      <x:c r="D13" s="36" t="n">
        <x:v>0</x:v>
      </x:c>
      <x:c r="E13" s="36" t="n">
        <x:v>0</x:v>
      </x:c>
      <x:c r="F13" s="36" t="n">
        <x:v>0</x:v>
      </x:c>
      <x:c r="G13" s="36" t="n">
        <x:v>0</x:v>
      </x:c>
      <x:c r="H13" s="36" t="n">
        <x:v>0</x:v>
      </x:c>
      <x:c r="I13" s="36" t="n">
        <x:v>0</x:v>
      </x:c>
      <x:c r="J13" s="36" t="n">
        <x:v>0</x:v>
      </x:c>
      <x:c r="K13" s="36" t="n">
        <x:v>0</x:v>
      </x:c>
      <x:c r="L13" s="36" t="n">
        <x:v>0</x:v>
      </x:c>
      <x:c r="M13" s="36" t="n">
        <x:v>0</x:v>
      </x:c>
      <x:c r="N13" s="36" t="n">
        <x:f>SUM(B13:M13)</x:f>
        <x:v>0</x:v>
      </x:c>
      <x:c r="O13" s="7"/>
      <x:c r="P13" s="7" t="str">
        <x:f>J4</x:f>
        <x:v>Feb-27</x:v>
      </x:c>
      <x:c r="Q13" s="36" t="n">
        <x:f>J20</x:f>
        <x:v>12418.2</x:v>
      </x:c>
      <x:c r="R13" s="36" t="n">
        <x:f>J19</x:f>
        <x:v>3409.6</x:v>
      </x:c>
    </x:row>
    <x:row r="14">
      <x:c r="A14" s="7" t="str">
        <x:v>Baseline Tool/Admin Costs</x:v>
      </x:c>
      <x:c r="B14" s="36" t="n">
        <x:f>B30</x:f>
        <x:v>225</x:v>
      </x:c>
      <x:c r="C14" s="36" t="n">
        <x:f>C30</x:f>
        <x:v>225</x:v>
      </x:c>
      <x:c r="D14" s="36" t="n">
        <x:f>D30</x:f>
        <x:v>225</x:v>
      </x:c>
      <x:c r="E14" s="36" t="n">
        <x:f>E30</x:f>
        <x:v>225</x:v>
      </x:c>
      <x:c r="F14" s="36" t="n">
        <x:f>F30</x:f>
        <x:v>225</x:v>
      </x:c>
      <x:c r="G14" s="36" t="n">
        <x:f>G30</x:f>
        <x:v>225</x:v>
      </x:c>
      <x:c r="H14" s="36" t="n">
        <x:f>H30</x:f>
        <x:v>225</x:v>
      </x:c>
      <x:c r="I14" s="36" t="n">
        <x:f>I30</x:f>
        <x:v>225</x:v>
      </x:c>
      <x:c r="J14" s="36" t="n">
        <x:f>J30</x:f>
        <x:v>225</x:v>
      </x:c>
      <x:c r="K14" s="36" t="n">
        <x:f>K30</x:f>
        <x:v>225</x:v>
      </x:c>
      <x:c r="L14" s="36" t="n">
        <x:f>L30</x:f>
        <x:v>225</x:v>
      </x:c>
      <x:c r="M14" s="36" t="n">
        <x:f>M30</x:f>
        <x:v>225</x:v>
      </x:c>
      <x:c r="N14" s="36" t="n">
        <x:f>SUM(B14:M14)</x:f>
        <x:v>2700</x:v>
      </x:c>
      <x:c r="O14" s="7"/>
      <x:c r="P14" s="7" t="str">
        <x:f>K4</x:f>
        <x:v>Mar-27</x:v>
      </x:c>
      <x:c r="Q14" s="36" t="n">
        <x:f>K20</x:f>
        <x:v>16760.25</x:v>
      </x:c>
      <x:c r="R14" s="36" t="n">
        <x:f>K19</x:f>
        <x:v>4342.05</x:v>
      </x:c>
    </x:row>
    <x:row r="15">
      <x:c r="A15" s="7" t="str">
        <x:v>Variable Delivery Costs</x:v>
      </x:c>
      <x:c r="B15" s="36" t="n">
        <x:f>B11*B29</x:f>
        <x:v>0</x:v>
      </x:c>
      <x:c r="C15" s="36" t="n">
        <x:f>C11*C29</x:f>
        <x:v>14.549999999999999</x:v>
      </x:c>
      <x:c r="D15" s="36" t="n">
        <x:f>D11*D29</x:f>
        <x:v>29.099999999999998</x:v>
      </x:c>
      <x:c r="E15" s="36" t="n">
        <x:f>E11*E29</x:f>
        <x:v>193.65</x:v>
      </x:c>
      <x:c r="F15" s="36" t="n">
        <x:f>F11*F29</x:f>
        <x:v>208.2</x:v>
      </x:c>
      <x:c r="G15" s="36" t="n">
        <x:f>G11*G29</x:f>
        <x:v>222.75</x:v>
      </x:c>
      <x:c r="H15" s="36" t="n">
        <x:f>H11*H29</x:f>
        <x:v>612.3</x:v>
      </x:c>
      <x:c r="I15" s="36" t="n">
        <x:f>I11*I29</x:f>
        <x:v>626.85</x:v>
      </x:c>
      <x:c r="J15" s="36" t="n">
        <x:f>J11*J29</x:f>
        <x:v>641.4</x:v>
      </x:c>
      <x:c r="K15" s="36" t="n">
        <x:f>K11*K29</x:f>
        <x:v>805.9499999999999</x:v>
      </x:c>
      <x:c r="L15" s="36" t="n">
        <x:f>L11*L29</x:f>
        <x:v>820.5</x:v>
      </x:c>
      <x:c r="M15" s="36" t="n">
        <x:f>M11*M29</x:f>
        <x:v>835.05</x:v>
      </x:c>
      <x:c r="N15" s="36" t="n">
        <x:f>SUM(B15:M15)</x:f>
        <x:v>5010.3</x:v>
      </x:c>
      <x:c r="O15" s="7"/>
      <x:c r="P15" s="7" t="str">
        <x:f>L4</x:f>
        <x:v>Apr-27</x:v>
      </x:c>
      <x:c r="Q15" s="36" t="n">
        <x:f>L20</x:f>
        <x:v>21184.75</x:v>
      </x:c>
      <x:c r="R15" s="36" t="n">
        <x:f>L19</x:f>
        <x:v>4424.5</x:v>
      </x:c>
    </x:row>
    <x:row r="16">
      <x:c r="A16" s="7" t="str">
        <x:v>Owner Draw</x:v>
      </x:c>
      <x:c r="B16" s="36" t="n">
        <x:f>B31</x:f>
        <x:v>0</x:v>
      </x:c>
      <x:c r="C16" s="36" t="n">
        <x:f>C31</x:f>
        <x:v>0</x:v>
      </x:c>
      <x:c r="D16" s="36" t="n">
        <x:f>D31</x:f>
        <x:v>0</x:v>
      </x:c>
      <x:c r="E16" s="36" t="n">
        <x:f>E31</x:f>
        <x:v>0</x:v>
      </x:c>
      <x:c r="F16" s="36" t="n">
        <x:f>F31</x:f>
        <x:v>0</x:v>
      </x:c>
      <x:c r="G16" s="36" t="n">
        <x:f>G31</x:f>
        <x:v>0</x:v>
      </x:c>
      <x:c r="H16" s="36" t="n">
        <x:f>H31</x:f>
        <x:v>0</x:v>
      </x:c>
      <x:c r="I16" s="36" t="n">
        <x:f>I31</x:f>
        <x:v>0</x:v>
      </x:c>
      <x:c r="J16" s="36" t="n">
        <x:f>J31</x:f>
        <x:v>0</x:v>
      </x:c>
      <x:c r="K16" s="36" t="n">
        <x:f>K31</x:f>
        <x:v>0</x:v>
      </x:c>
      <x:c r="L16" s="36" t="n">
        <x:f>L31</x:f>
        <x:v>0</x:v>
      </x:c>
      <x:c r="M16" s="36" t="n">
        <x:f>M31</x:f>
        <x:v>0</x:v>
      </x:c>
      <x:c r="N16" s="36" t="n">
        <x:f>SUM(B16:M16)</x:f>
        <x:v>0</x:v>
      </x:c>
      <x:c r="O16" s="7"/>
      <x:c r="P16" s="7" t="str">
        <x:f>M4</x:f>
        <x:v>May-27</x:v>
      </x:c>
      <x:c r="Q16" s="36" t="n">
        <x:f>M20</x:f>
        <x:v>25691.7</x:v>
      </x:c>
      <x:c r="R16" s="36" t="n">
        <x:f>M19</x:f>
        <x:v>4506.95</x:v>
      </x:c>
    </x:row>
    <x:row r="17">
      <x:c r="A17" s="38" t="str">
        <x:v>Total Cash Out</x:v>
      </x:c>
      <x:c r="B17" s="39" t="n">
        <x:f>SUM(B13:B16)</x:f>
        <x:v>225</x:v>
      </x:c>
      <x:c r="C17" s="39" t="n">
        <x:f>SUM(C13:C16)</x:f>
        <x:v>239.55</x:v>
      </x:c>
      <x:c r="D17" s="39" t="n">
        <x:f>SUM(D13:D16)</x:f>
        <x:v>254.1</x:v>
      </x:c>
      <x:c r="E17" s="39" t="n">
        <x:f>SUM(E13:E16)</x:f>
        <x:v>418.65</x:v>
      </x:c>
      <x:c r="F17" s="39" t="n">
        <x:f>SUM(F13:F16)</x:f>
        <x:v>433.2</x:v>
      </x:c>
      <x:c r="G17" s="39" t="n">
        <x:f>SUM(G13:G16)</x:f>
        <x:v>447.75</x:v>
      </x:c>
      <x:c r="H17" s="39" t="n">
        <x:f>SUM(H13:H16)</x:f>
        <x:v>837.3</x:v>
      </x:c>
      <x:c r="I17" s="39" t="n">
        <x:f>SUM(I13:I16)</x:f>
        <x:v>851.85</x:v>
      </x:c>
      <x:c r="J17" s="39" t="n">
        <x:f>SUM(J13:J16)</x:f>
        <x:v>866.4</x:v>
      </x:c>
      <x:c r="K17" s="39" t="n">
        <x:f>SUM(K13:K16)</x:f>
        <x:v>1030.9499999999998</x:v>
      </x:c>
      <x:c r="L17" s="39" t="n">
        <x:f>SUM(L13:L16)</x:f>
        <x:v>1045.5</x:v>
      </x:c>
      <x:c r="M17" s="39" t="n">
        <x:f>SUM(M13:M16)</x:f>
        <x:v>1060.05</x:v>
      </x:c>
      <x:c r="N17" s="39" t="n">
        <x:f>SUM(B17:M17)</x:f>
        <x:v>7710.3</x:v>
      </x:c>
      <x:c r="O17" s="7"/>
      <x:c r="P17" s="7"/>
      <x:c r="Q17" s="7"/>
      <x:c r="R17" s="7"/>
    </x:row>
    <x:row r="18">
      <x:c r="A18" s="7" t="str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7"/>
      <x:c r="P18" s="7"/>
      <x:c r="Q18" s="7"/>
      <x:c r="R18" s="7"/>
    </x:row>
    <x:row r="19">
      <x:c r="A19" s="40" t="str">
        <x:v>Net Cash Flow</x:v>
      </x:c>
      <x:c r="B19" s="41" t="n">
        <x:f>B11-B17</x:f>
        <x:v>-225</x:v>
      </x:c>
      <x:c r="C19" s="41" t="n">
        <x:f>C11-C17</x:f>
        <x:v>-142.55</x:v>
      </x:c>
      <x:c r="D19" s="41" t="n">
        <x:f>D11-D17</x:f>
        <x:v>-60.099999999999994</x:v>
      </x:c>
      <x:c r="E19" s="41" t="n">
        <x:f>E11-E17</x:f>
        <x:v>872.35</x:v>
      </x:c>
      <x:c r="F19" s="41" t="n">
        <x:f>F11-F17</x:f>
        <x:v>954.8</x:v>
      </x:c>
      <x:c r="G19" s="41" t="n">
        <x:f>G11-G17</x:f>
        <x:v>1037.25</x:v>
      </x:c>
      <x:c r="H19" s="41" t="n">
        <x:f>H11-H17</x:f>
        <x:v>3244.7</x:v>
      </x:c>
      <x:c r="I19" s="41" t="n">
        <x:f>I11-I17</x:f>
        <x:v>3327.15</x:v>
      </x:c>
      <x:c r="J19" s="41" t="n">
        <x:f>J11-J17</x:f>
        <x:v>3409.6</x:v>
      </x:c>
      <x:c r="K19" s="41" t="n">
        <x:f>K11-K17</x:f>
        <x:v>4342.05</x:v>
      </x:c>
      <x:c r="L19" s="41" t="n">
        <x:f>L11-L17</x:f>
        <x:v>4424.5</x:v>
      </x:c>
      <x:c r="M19" s="41" t="n">
        <x:f>M11-M17</x:f>
        <x:v>4506.95</x:v>
      </x:c>
      <x:c r="N19" s="41" t="n">
        <x:f>SUM(B19:M19)</x:f>
        <x:v>25691.7</x:v>
      </x:c>
      <x:c r="O19" s="7"/>
      <x:c r="P19" s="7"/>
      <x:c r="Q19" s="7"/>
      <x:c r="R19" s="7"/>
    </x:row>
    <x:row r="20">
      <x:c r="A20" s="40" t="str">
        <x:v>Ending Cash</x:v>
      </x:c>
      <x:c r="B20" s="41" t="n">
        <x:f>B5+B19</x:f>
        <x:v>-225</x:v>
      </x:c>
      <x:c r="C20" s="41" t="n">
        <x:f>C5+C19</x:f>
        <x:v>-367.55</x:v>
      </x:c>
      <x:c r="D20" s="41" t="n">
        <x:f>D5+D19</x:f>
        <x:v>-427.65</x:v>
      </x:c>
      <x:c r="E20" s="41" t="n">
        <x:f>E5+E19</x:f>
        <x:v>444.70000000000005</x:v>
      </x:c>
      <x:c r="F20" s="41" t="n">
        <x:f>F5+F19</x:f>
        <x:v>1399.5</x:v>
      </x:c>
      <x:c r="G20" s="41" t="n">
        <x:f>G5+G19</x:f>
        <x:v>2436.75</x:v>
      </x:c>
      <x:c r="H20" s="41" t="n">
        <x:f>H5+H19</x:f>
        <x:v>5681.45</x:v>
      </x:c>
      <x:c r="I20" s="41" t="n">
        <x:f>I5+I19</x:f>
        <x:v>9008.6</x:v>
      </x:c>
      <x:c r="J20" s="41" t="n">
        <x:f>J5+J19</x:f>
        <x:v>12418.2</x:v>
      </x:c>
      <x:c r="K20" s="41" t="n">
        <x:f>K5+K19</x:f>
        <x:v>16760.25</x:v>
      </x:c>
      <x:c r="L20" s="41" t="n">
        <x:f>L5+L19</x:f>
        <x:v>21184.75</x:v>
      </x:c>
      <x:c r="M20" s="41" t="n">
        <x:f>M5+M19</x:f>
        <x:v>25691.7</x:v>
      </x:c>
      <x:c r="N20" s="41" t="n">
        <x:f>M20</x:f>
        <x:v>25691.7</x:v>
      </x:c>
      <x:c r="O20" s="7"/>
      <x:c r="P20" s="7"/>
      <x:c r="Q20" s="7"/>
      <x:c r="R20" s="7"/>
    </x:row>
    <x:row r="21">
      <x:c r="A21" s="40" t="str">
        <x:v>Cash Runway Status</x:v>
      </x:c>
      <x:c r="B21" s="40" t="str">
        <x:f>IF(B20&lt;Assumptions!B22,"Needs Review","OK")</x:f>
        <x:v>Needs Review</x:v>
      </x:c>
      <x:c r="C21" s="40" t="str">
        <x:f>IF(C20&lt;Assumptions!B22,"Needs Review","OK")</x:f>
        <x:v>Needs Review</x:v>
      </x:c>
      <x:c r="D21" s="40" t="str">
        <x:f>IF(D20&lt;Assumptions!B22,"Needs Review","OK")</x:f>
        <x:v>Needs Review</x:v>
      </x:c>
      <x:c r="E21" s="40" t="str">
        <x:f>IF(E20&lt;Assumptions!B22,"Needs Review","OK")</x:f>
        <x:v>Needs Review</x:v>
      </x:c>
      <x:c r="F21" s="40" t="str">
        <x:f>IF(F20&lt;Assumptions!B22,"Needs Review","OK")</x:f>
        <x:v>OK</x:v>
      </x:c>
      <x:c r="G21" s="40" t="str">
        <x:f>IF(G20&lt;Assumptions!B22,"Needs Review","OK")</x:f>
        <x:v>OK</x:v>
      </x:c>
      <x:c r="H21" s="40" t="str">
        <x:f>IF(H20&lt;Assumptions!B22,"Needs Review","OK")</x:f>
        <x:v>OK</x:v>
      </x:c>
      <x:c r="I21" s="40" t="str">
        <x:f>IF(I20&lt;Assumptions!B22,"Needs Review","OK")</x:f>
        <x:v>OK</x:v>
      </x:c>
      <x:c r="J21" s="40" t="str">
        <x:f>IF(J20&lt;Assumptions!B22,"Needs Review","OK")</x:f>
        <x:v>OK</x:v>
      </x:c>
      <x:c r="K21" s="40" t="str">
        <x:f>IF(K20&lt;Assumptions!B22,"Needs Review","OK")</x:f>
        <x:v>OK</x:v>
      </x:c>
      <x:c r="L21" s="40" t="str">
        <x:f>IF(L20&lt;Assumptions!B22,"Needs Review","OK")</x:f>
        <x:v>OK</x:v>
      </x:c>
      <x:c r="M21" s="40" t="str">
        <x:f>IF(M20&lt;Assumptions!B22,"Needs Review","OK")</x:f>
        <x:v>OK</x:v>
      </x:c>
      <x:c r="N21" s="41"/>
      <x:c r="O21" s="7"/>
      <x:c r="P21" s="7"/>
      <x:c r="Q21" s="7"/>
      <x:c r="R21" s="7"/>
    </x:row>
    <x:row r="22">
      <x:c r="A22" s="7" t="str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</x:row>
    <x:row r="23">
      <x:c r="A23" s="7" t="str">
        <x:v>Setup Sprints</x:v>
      </x:c>
      <x:c r="B23" s="42" t="n">
        <x:f>Assumptions!B16</x:f>
        <x:v>0</x:v>
      </x:c>
      <x:c r="C23" s="42" t="n">
        <x:f>B23</x:f>
        <x:v>0</x:v>
      </x:c>
      <x:c r="D23" s="42" t="n">
        <x:f>C23</x:f>
        <x:v>0</x:v>
      </x:c>
      <x:c r="E23" s="42" t="n">
        <x:f>D23+Assumptions!B19</x:f>
        <x:v>1</x:v>
      </x:c>
      <x:c r="F23" s="42" t="n">
        <x:f>E23</x:f>
        <x:v>1</x:v>
      </x:c>
      <x:c r="G23" s="42" t="n">
        <x:f>F23</x:f>
        <x:v>1</x:v>
      </x:c>
      <x:c r="H23" s="42" t="n">
        <x:f>G23+Assumptions!B19</x:f>
        <x:v>2</x:v>
      </x:c>
      <x:c r="I23" s="42" t="n">
        <x:f>H23</x:f>
        <x:v>2</x:v>
      </x:c>
      <x:c r="J23" s="42" t="n">
        <x:f>I23</x:f>
        <x:v>2</x:v>
      </x:c>
      <x:c r="K23" s="42" t="n">
        <x:f>J23+Assumptions!B19</x:f>
        <x:v>3</x:v>
      </x:c>
      <x:c r="L23" s="42" t="n">
        <x:f>K23</x:f>
        <x:v>3</x:v>
      </x:c>
      <x:c r="M23" s="42" t="n">
        <x:f>L23</x:f>
        <x:v>3</x:v>
      </x:c>
      <x:c r="N23" s="7"/>
      <x:c r="O23" s="7"/>
      <x:c r="P23" s="7"/>
      <x:c r="Q23" s="7"/>
      <x:c r="R23" s="7"/>
    </x:row>
    <x:row r="24">
      <x:c r="A24" s="7" t="str">
        <x:v>Active Beta Subscriptions</x:v>
      </x:c>
      <x:c r="B24" s="42" t="n">
        <x:f>Assumptions!B17</x:f>
        <x:v>0</x:v>
      </x:c>
      <x:c r="C24" s="42" t="n">
        <x:f>B24+Assumptions!B20</x:f>
        <x:v>1</x:v>
      </x:c>
      <x:c r="D24" s="42" t="n">
        <x:f>C24+Assumptions!B20</x:f>
        <x:v>2</x:v>
      </x:c>
      <x:c r="E24" s="42" t="n">
        <x:f>D24+Assumptions!B20</x:f>
        <x:v>3</x:v>
      </x:c>
      <x:c r="F24" s="42" t="n">
        <x:f>E24+Assumptions!B20</x:f>
        <x:v>4</x:v>
      </x:c>
      <x:c r="G24" s="42" t="n">
        <x:f>F24+Assumptions!B20</x:f>
        <x:v>5</x:v>
      </x:c>
      <x:c r="H24" s="42" t="n">
        <x:f>G24+Assumptions!B20</x:f>
        <x:v>6</x:v>
      </x:c>
      <x:c r="I24" s="42" t="n">
        <x:f>H24+Assumptions!B20</x:f>
        <x:v>7</x:v>
      </x:c>
      <x:c r="J24" s="42" t="n">
        <x:f>I24+Assumptions!B20</x:f>
        <x:v>8</x:v>
      </x:c>
      <x:c r="K24" s="42" t="n">
        <x:f>J24+Assumptions!B20</x:f>
        <x:v>9</x:v>
      </x:c>
      <x:c r="L24" s="42" t="n">
        <x:f>K24+Assumptions!B20</x:f>
        <x:v>10</x:v>
      </x:c>
      <x:c r="M24" s="42" t="n">
        <x:f>L24+Assumptions!B20</x:f>
        <x:v>11</x:v>
      </x:c>
      <x:c r="N24" s="7"/>
      <x:c r="O24" s="7"/>
      <x:c r="P24" s="7"/>
      <x:c r="Q24" s="7"/>
      <x:c r="R24" s="7"/>
    </x:row>
    <x:row r="25">
      <x:c r="A25" s="7" t="str">
        <x:v>Active Retainers</x:v>
      </x:c>
      <x:c r="B25" s="42" t="n">
        <x:f>Assumptions!B18</x:f>
        <x:v>0</x:v>
      </x:c>
      <x:c r="C25" s="42" t="n">
        <x:f>B25</x:f>
        <x:v>0</x:v>
      </x:c>
      <x:c r="D25" s="42" t="n">
        <x:f>C25</x:f>
        <x:v>0</x:v>
      </x:c>
      <x:c r="E25" s="42" t="n">
        <x:f>D25</x:f>
        <x:v>0</x:v>
      </x:c>
      <x:c r="F25" s="42" t="n">
        <x:f>E25</x:f>
        <x:v>0</x:v>
      </x:c>
      <x:c r="G25" s="42" t="n">
        <x:f>F25</x:f>
        <x:v>0</x:v>
      </x:c>
      <x:c r="H25" s="42" t="n">
        <x:f>G25+Assumptions!B21</x:f>
        <x:v>1</x:v>
      </x:c>
      <x:c r="I25" s="42" t="n">
        <x:f>H25</x:f>
        <x:v>1</x:v>
      </x:c>
      <x:c r="J25" s="42" t="n">
        <x:f>I25</x:f>
        <x:v>1</x:v>
      </x:c>
      <x:c r="K25" s="42" t="n">
        <x:f>J25</x:f>
        <x:v>1</x:v>
      </x:c>
      <x:c r="L25" s="42" t="n">
        <x:f>K25</x:f>
        <x:v>1</x:v>
      </x:c>
      <x:c r="M25" s="42" t="n">
        <x:f>L25</x:f>
        <x:v>1</x:v>
      </x:c>
      <x:c r="N25" s="7"/>
      <x:c r="O25" s="7"/>
      <x:c r="P25" s="7"/>
      <x:c r="Q25" s="7"/>
      <x:c r="R25" s="7"/>
    </x:row>
    <x:row r="26">
      <x:c r="A26" s="7" t="str">
        <x:v>Revenue per Setup Sprint</x:v>
      </x:c>
      <x:c r="B26" s="43" t="n">
        <x:f>Assumptions!B8</x:f>
        <x:v>1000</x:v>
      </x:c>
      <x:c r="C26" s="43" t="n">
        <x:f>B26</x:f>
        <x:v>1000</x:v>
      </x:c>
      <x:c r="D26" s="43" t="n">
        <x:f>C26</x:f>
        <x:v>1000</x:v>
      </x:c>
      <x:c r="E26" s="43" t="n">
        <x:f>D26</x:f>
        <x:v>1000</x:v>
      </x:c>
      <x:c r="F26" s="43" t="n">
        <x:f>E26</x:f>
        <x:v>1000</x:v>
      </x:c>
      <x:c r="G26" s="43" t="n">
        <x:f>F26</x:f>
        <x:v>1000</x:v>
      </x:c>
      <x:c r="H26" s="43" t="n">
        <x:f>G26</x:f>
        <x:v>1000</x:v>
      </x:c>
      <x:c r="I26" s="43" t="n">
        <x:f>H26</x:f>
        <x:v>1000</x:v>
      </x:c>
      <x:c r="J26" s="43" t="n">
        <x:f>I26</x:f>
        <x:v>1000</x:v>
      </x:c>
      <x:c r="K26" s="43" t="n">
        <x:f>J26</x:f>
        <x:v>1000</x:v>
      </x:c>
      <x:c r="L26" s="43" t="n">
        <x:f>K26</x:f>
        <x:v>1000</x:v>
      </x:c>
      <x:c r="M26" s="43" t="n">
        <x:f>L26</x:f>
        <x:v>1000</x:v>
      </x:c>
      <x:c r="N26" s="7"/>
      <x:c r="O26" s="7"/>
      <x:c r="P26" s="7"/>
      <x:c r="Q26" s="7"/>
      <x:c r="R26" s="7"/>
    </x:row>
    <x:row r="27">
      <x:c r="A27" s="7" t="str">
        <x:v>Revenue per Beta Subscription</x:v>
      </x:c>
      <x:c r="B27" s="43" t="n">
        <x:f>Assumptions!B9</x:f>
        <x:v>97</x:v>
      </x:c>
      <x:c r="C27" s="43" t="n">
        <x:f>B27</x:f>
        <x:v>97</x:v>
      </x:c>
      <x:c r="D27" s="43" t="n">
        <x:f>C27</x:f>
        <x:v>97</x:v>
      </x:c>
      <x:c r="E27" s="43" t="n">
        <x:f>D27</x:f>
        <x:v>97</x:v>
      </x:c>
      <x:c r="F27" s="43" t="n">
        <x:f>E27</x:f>
        <x:v>97</x:v>
      </x:c>
      <x:c r="G27" s="43" t="n">
        <x:f>F27</x:f>
        <x:v>97</x:v>
      </x:c>
      <x:c r="H27" s="43" t="n">
        <x:f>G27</x:f>
        <x:v>97</x:v>
      </x:c>
      <x:c r="I27" s="43" t="n">
        <x:f>H27</x:f>
        <x:v>97</x:v>
      </x:c>
      <x:c r="J27" s="43" t="n">
        <x:f>I27</x:f>
        <x:v>97</x:v>
      </x:c>
      <x:c r="K27" s="43" t="n">
        <x:f>J27</x:f>
        <x:v>97</x:v>
      </x:c>
      <x:c r="L27" s="43" t="n">
        <x:f>K27</x:f>
        <x:v>97</x:v>
      </x:c>
      <x:c r="M27" s="43" t="n">
        <x:f>L27</x:f>
        <x:v>97</x:v>
      </x:c>
      <x:c r="N27" s="7"/>
      <x:c r="O27" s="7"/>
      <x:c r="P27" s="7"/>
      <x:c r="Q27" s="7"/>
      <x:c r="R27" s="7"/>
    </x:row>
    <x:row r="28">
      <x:c r="A28" s="7" t="str">
        <x:v>Revenue per Retainer</x:v>
      </x:c>
      <x:c r="B28" s="43" t="n">
        <x:f>Assumptions!B12</x:f>
        <x:v>1500</x:v>
      </x:c>
      <x:c r="C28" s="43" t="n">
        <x:f>B28</x:f>
        <x:v>1500</x:v>
      </x:c>
      <x:c r="D28" s="43" t="n">
        <x:f>C28</x:f>
        <x:v>1500</x:v>
      </x:c>
      <x:c r="E28" s="43" t="n">
        <x:f>D28</x:f>
        <x:v>1500</x:v>
      </x:c>
      <x:c r="F28" s="43" t="n">
        <x:f>E28</x:f>
        <x:v>1500</x:v>
      </x:c>
      <x:c r="G28" s="43" t="n">
        <x:f>F28</x:f>
        <x:v>1500</x:v>
      </x:c>
      <x:c r="H28" s="43" t="n">
        <x:f>G28</x:f>
        <x:v>1500</x:v>
      </x:c>
      <x:c r="I28" s="43" t="n">
        <x:f>H28</x:f>
        <x:v>1500</x:v>
      </x:c>
      <x:c r="J28" s="43" t="n">
        <x:f>I28</x:f>
        <x:v>1500</x:v>
      </x:c>
      <x:c r="K28" s="43" t="n">
        <x:f>J28</x:f>
        <x:v>1500</x:v>
      </x:c>
      <x:c r="L28" s="43" t="n">
        <x:f>K28</x:f>
        <x:v>1500</x:v>
      </x:c>
      <x:c r="M28" s="43" t="n">
        <x:f>L28</x:f>
        <x:v>1500</x:v>
      </x:c>
      <x:c r="N28" s="7"/>
      <x:c r="O28" s="7"/>
      <x:c r="P28" s="7"/>
      <x:c r="Q28" s="7"/>
      <x:c r="R28" s="7"/>
    </x:row>
    <x:row r="29">
      <x:c r="A29" s="7" t="str">
        <x:v>Variable Delivery Cost Rate</x:v>
      </x:c>
      <x:c r="B29" s="44" t="n">
        <x:f>Assumptions!B14</x:f>
        <x:v>0.15</x:v>
      </x:c>
      <x:c r="C29" s="44" t="n">
        <x:f>B29</x:f>
        <x:v>0.15</x:v>
      </x:c>
      <x:c r="D29" s="44" t="n">
        <x:f>C29</x:f>
        <x:v>0.15</x:v>
      </x:c>
      <x:c r="E29" s="44" t="n">
        <x:f>D29</x:f>
        <x:v>0.15</x:v>
      </x:c>
      <x:c r="F29" s="44" t="n">
        <x:f>E29</x:f>
        <x:v>0.15</x:v>
      </x:c>
      <x:c r="G29" s="44" t="n">
        <x:f>F29</x:f>
        <x:v>0.15</x:v>
      </x:c>
      <x:c r="H29" s="44" t="n">
        <x:f>G29</x:f>
        <x:v>0.15</x:v>
      </x:c>
      <x:c r="I29" s="44" t="n">
        <x:f>H29</x:f>
        <x:v>0.15</x:v>
      </x:c>
      <x:c r="J29" s="44" t="n">
        <x:f>I29</x:f>
        <x:v>0.15</x:v>
      </x:c>
      <x:c r="K29" s="44" t="n">
        <x:f>J29</x:f>
        <x:v>0.15</x:v>
      </x:c>
      <x:c r="L29" s="44" t="n">
        <x:f>K29</x:f>
        <x:v>0.15</x:v>
      </x:c>
      <x:c r="M29" s="44" t="n">
        <x:f>L29</x:f>
        <x:v>0.15</x:v>
      </x:c>
      <x:c r="N29" s="7"/>
      <x:c r="O29" s="7"/>
      <x:c r="P29" s="7"/>
      <x:c r="Q29" s="7"/>
      <x:c r="R29" s="7"/>
    </x:row>
    <x:row r="30">
      <x:c r="A30" s="7" t="str">
        <x:v>Baseline Tool/Admin Cost</x:v>
      </x:c>
      <x:c r="B30" s="43" t="n">
        <x:f>Assumptions!B13</x:f>
        <x:v>225</x:v>
      </x:c>
      <x:c r="C30" s="43" t="n">
        <x:f>B30</x:f>
        <x:v>225</x:v>
      </x:c>
      <x:c r="D30" s="43" t="n">
        <x:f>C30</x:f>
        <x:v>225</x:v>
      </x:c>
      <x:c r="E30" s="43" t="n">
        <x:f>D30</x:f>
        <x:v>225</x:v>
      </x:c>
      <x:c r="F30" s="43" t="n">
        <x:f>E30</x:f>
        <x:v>225</x:v>
      </x:c>
      <x:c r="G30" s="43" t="n">
        <x:f>F30</x:f>
        <x:v>225</x:v>
      </x:c>
      <x:c r="H30" s="43" t="n">
        <x:f>G30</x:f>
        <x:v>225</x:v>
      </x:c>
      <x:c r="I30" s="43" t="n">
        <x:f>H30</x:f>
        <x:v>225</x:v>
      </x:c>
      <x:c r="J30" s="43" t="n">
        <x:f>I30</x:f>
        <x:v>225</x:v>
      </x:c>
      <x:c r="K30" s="43" t="n">
        <x:f>J30</x:f>
        <x:v>225</x:v>
      </x:c>
      <x:c r="L30" s="43" t="n">
        <x:f>K30</x:f>
        <x:v>225</x:v>
      </x:c>
      <x:c r="M30" s="43" t="n">
        <x:f>L30</x:f>
        <x:v>225</x:v>
      </x:c>
      <x:c r="N30" s="7"/>
      <x:c r="O30" s="7"/>
      <x:c r="P30" s="7"/>
      <x:c r="Q30" s="7"/>
      <x:c r="R30" s="7"/>
    </x:row>
    <x:row r="31">
      <x:c r="A31" s="7" t="str">
        <x:v>Owner Draw</x:v>
      </x:c>
      <x:c r="B31" s="43" t="n">
        <x:f>Assumptions!B15</x:f>
        <x:v>0</x:v>
      </x:c>
      <x:c r="C31" s="43" t="n">
        <x:f>B31</x:f>
        <x:v>0</x:v>
      </x:c>
      <x:c r="D31" s="43" t="n">
        <x:f>C31</x:f>
        <x:v>0</x:v>
      </x:c>
      <x:c r="E31" s="43" t="n">
        <x:f>D31</x:f>
        <x:v>0</x:v>
      </x:c>
      <x:c r="F31" s="43" t="n">
        <x:f>E31</x:f>
        <x:v>0</x:v>
      </x:c>
      <x:c r="G31" s="43" t="n">
        <x:f>F31</x:f>
        <x:v>0</x:v>
      </x:c>
      <x:c r="H31" s="43" t="n">
        <x:f>G31</x:f>
        <x:v>0</x:v>
      </x:c>
      <x:c r="I31" s="43" t="n">
        <x:f>H31</x:f>
        <x:v>0</x:v>
      </x:c>
      <x:c r="J31" s="43" t="n">
        <x:f>I31</x:f>
        <x:v>0</x:v>
      </x:c>
      <x:c r="K31" s="43" t="n">
        <x:f>J31</x:f>
        <x:v>0</x:v>
      </x:c>
      <x:c r="L31" s="43" t="n">
        <x:f>K31</x:f>
        <x:v>0</x:v>
      </x:c>
      <x:c r="M31" s="43" t="n">
        <x:f>L31</x:f>
        <x:v>0</x:v>
      </x:c>
      <x:c r="N31" s="7"/>
      <x:c r="O31" s="7"/>
      <x:c r="P31" s="7"/>
      <x:c r="Q31" s="7"/>
      <x:c r="R31" s="7"/>
    </x:row>
    <x:row r="32">
      <x:c r="A32" s="7" t="str">
        <x:v>Notes</x:v>
      </x:c>
      <x:c r="B32" s="35" t="str">
        <x:v>Update assumptions and replace placeholders as actual records become available.</x:v>
      </x:c>
      <x:c r="C32" s="35" t="str"/>
      <x:c r="D32" s="35" t="str"/>
      <x:c r="E32" s="35" t="str"/>
      <x:c r="F32" s="35" t="str"/>
      <x:c r="G32" s="35" t="str"/>
      <x:c r="H32" s="35" t="str"/>
      <x:c r="I32" s="35" t="str"/>
      <x:c r="J32" s="35" t="str"/>
      <x:c r="K32" s="35" t="str"/>
      <x:c r="L32" s="35" t="str"/>
      <x:c r="M32" s="35" t="str"/>
      <x:c r="N32" s="7"/>
      <x:c r="O32" s="7"/>
      <x:c r="P32" s="7"/>
      <x:c r="Q32" s="7"/>
      <x:c r="R32" s="7"/>
    </x:row>
    <x:row r="33">
      <x:c r="A33" s="7" t="str">
        <x:v>Model Limitation</x:v>
      </x:c>
      <x:c r="B33" s="35" t="str">
        <x:v>This is a cash planning model, not an audited P&amp;L, balance sheet, tax record, or CPA-prepared forecast.</x:v>
      </x:c>
      <x:c r="C33" s="35" t="str"/>
      <x:c r="D33" s="35" t="str"/>
      <x:c r="E33" s="35" t="str"/>
      <x:c r="F33" s="35" t="str"/>
      <x:c r="G33" s="35" t="str"/>
      <x:c r="H33" s="35" t="str"/>
      <x:c r="I33" s="35" t="str"/>
      <x:c r="J33" s="35" t="str"/>
      <x:c r="K33" s="35" t="str"/>
      <x:c r="L33" s="35" t="str"/>
      <x:c r="M33" s="35" t="str"/>
      <x:c r="N33" s="7"/>
      <x:c r="O33" s="7"/>
      <x:c r="P33" s="7"/>
      <x:c r="Q33" s="7"/>
      <x:c r="R33" s="7"/>
    </x:row>
  </x:sheetData>
  <x:conditionalFormatting sqref="B20:M20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pageMargins left="0.7" right="0.7" top="0.75" bottom="0.75" header="0.3" footer="0.3"/>
  <x:drawing xmlns:r="http://schemas.openxmlformats.org/officeDocument/2006/relationships" r:id="Reab72e75b1a64300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17.5" hidden="0" customWidth="1"/>
    <x:col min="5" max="5" width="40" hidden="0" customWidth="1"/>
  </x:cols>
  <x:sheetData>
    <x:row r="1">
      <x:c r="A1" s="37" t="str">
        <x:v>Model Checks</x:v>
      </x:c>
      <x:c r="B1" s="37" t="str"/>
      <x:c r="C1" s="37" t="str"/>
      <x:c r="D1" s="37" t="str"/>
      <x:c r="E1" s="37" t="str"/>
      <x:c r="F1" s="2" t="str"/>
      <x:c r="G1" s="2" t="str"/>
      <x:c r="H1" s="2" t="str"/>
    </x:row>
    <x:row r="2">
      <x:c r="A2" s="5" t="str">
        <x:v>Review status before uploading externally.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3">
      <x:c r="A3" s="7"/>
      <x:c r="B3" s="7"/>
      <x:c r="C3" s="7"/>
      <x:c r="D3" s="7"/>
      <x:c r="E3" s="7"/>
    </x:row>
    <x:row r="4">
      <x:c r="A4" s="13" t="str">
        <x:v>Check</x:v>
      </x:c>
      <x:c r="B4" s="13" t="str">
        <x:v>Actual</x:v>
      </x:c>
      <x:c r="C4" s="13" t="str">
        <x:v>Expected</x:v>
      </x:c>
      <x:c r="D4" s="13" t="str">
        <x:v>Status</x:v>
      </x:c>
      <x:c r="E4" s="13" t="str">
        <x:v>Notes</x:v>
      </x:c>
    </x:row>
    <x:row r="5">
      <x:c r="A5" s="7" t="str">
        <x:v>Opening cash entered</x:v>
      </x:c>
      <x:c r="B5" s="36" t="n">
        <x:f>Assumptions!B5</x:f>
        <x:v>0</x:v>
      </x:c>
      <x:c r="C5" s="36" t="str">
        <x:v>Review</x:v>
      </x:c>
      <x:c r="D5" s="7" t="str">
        <x:f>IF(B5=0,"Needs Review","OK")</x:f>
        <x:v>Needs Review</x:v>
      </x:c>
      <x:c r="E5" s="7" t="str">
        <x:v>Current bank balance is still a placeholder unless updated.</x:v>
      </x:c>
    </x:row>
    <x:row r="6">
      <x:c r="A6" s="7" t="str">
        <x:v>Known AR entered</x:v>
      </x:c>
      <x:c r="B6" s="36" t="n">
        <x:f>Assumptions!B6</x:f>
        <x:v>0</x:v>
      </x:c>
      <x:c r="C6" s="36" t="str">
        <x:v>Review</x:v>
      </x:c>
      <x:c r="D6" s="7" t="str">
        <x:f>IF(B6=0,"Needs Review","OK")</x:f>
        <x:v>Needs Review</x:v>
      </x:c>
      <x:c r="E6" s="7" t="str">
        <x:v>Open invoices are still placeholders unless updated.</x:v>
      </x:c>
    </x:row>
    <x:row r="7">
      <x:c r="A7" s="7" t="str">
        <x:v>Known AP entered</x:v>
      </x:c>
      <x:c r="B7" s="36" t="n">
        <x:f>Assumptions!B7</x:f>
        <x:v>0</x:v>
      </x:c>
      <x:c r="C7" s="36" t="str">
        <x:v>Review</x:v>
      </x:c>
      <x:c r="D7" s="7" t="str">
        <x:f>IF(B7=0,"Needs Review","OK")</x:f>
        <x:v>Needs Review</x:v>
      </x:c>
      <x:c r="E7" s="7" t="str">
        <x:v>Open bills are still placeholders unless updated.</x:v>
      </x:c>
    </x:row>
    <x:row r="8">
      <x:c r="A8" s="7" t="str">
        <x:v>Ending cash formula tie-out</x:v>
      </x:c>
      <x:c r="B8" s="36" t="n">
        <x:f>'Cash Flow Projection'!M20</x:f>
        <x:v>25691.7</x:v>
      </x:c>
      <x:c r="C8" s="36" t="n">
        <x:f>'Cash Flow Projection'!N20</x:f>
        <x:v>25691.7</x:v>
      </x:c>
      <x:c r="D8" s="7" t="str">
        <x:f>IF(ABS(B8-C8)&lt;1,"OK","Check")</x:f>
        <x:v>OK</x:v>
      </x:c>
      <x:c r="E8" s="7" t="str">
        <x:v>Last month ending cash should equal cover cash projection output.</x:v>
      </x:c>
    </x:row>
    <x:row r="9">
      <x:c r="A9" s="7" t="str">
        <x:v>Formal P&amp;L available</x:v>
      </x:c>
      <x:c r="B9" s="7" t="str">
        <x:v>No</x:v>
      </x:c>
      <x:c r="C9" s="7" t="str">
        <x:v>No</x:v>
      </x:c>
      <x:c r="D9" s="7" t="str">
        <x:v>Disclosure OK</x:v>
      </x:c>
      <x:c r="E9" s="7" t="str">
        <x:v>Formal historical P&amp;L is pending reconciliation.</x:v>
      </x:c>
    </x:row>
    <x:row r="10">
      <x:c r="A10" s="7" t="str">
        <x:v>Formal balance sheet available</x:v>
      </x:c>
      <x:c r="B10" s="7" t="str">
        <x:v>No</x:v>
      </x:c>
      <x:c r="C10" s="7" t="str">
        <x:v>No</x:v>
      </x:c>
      <x:c r="D10" s="7" t="str">
        <x:v>Disclosure OK</x:v>
      </x:c>
      <x:c r="E10" s="7" t="str">
        <x:v>Formal balance sheet is pending reconciliation.</x:v>
      </x:c>
    </x:row>
  </x:sheetData>
  <x:conditionalFormatting sqref="D5:D8">
    <x:cfRule type="cellIs" dxfId="2" priority="1">
      <x:formula>"OK"</x:formula>
    </x:cfRule>
    <x:cfRule type="cellIs" dxfId="3" priority="2">
      <x:formula>"OK"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32.5" hidden="0" customWidth="1"/>
    <x:col min="3" max="3" width="52.5" hidden="0" customWidth="1"/>
  </x:cols>
  <x:sheetData>
    <x:row r="1">
      <x:c r="A1" s="37" t="str">
        <x:v>Source Notes</x:v>
      </x:c>
      <x:c r="B1" s="37" t="str"/>
      <x:c r="C1" s="37" t="str"/>
      <x:c r="D1" s="2" t="str"/>
      <x:c r="E1" s="2" t="str"/>
      <x:c r="F1" s="2" t="str"/>
      <x:c r="G1" s="2" t="str"/>
      <x:c r="H1" s="2" t="str"/>
    </x:row>
    <x:row r="2">
      <x:c r="A2" s="5" t="str">
        <x:v>Input sources and audit trail.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3">
      <x:c r="A3" s="7"/>
      <x:c r="B3" s="7"/>
      <x:c r="C3" s="7"/>
    </x:row>
    <x:row r="4">
      <x:c r="A4" s="13" t="str">
        <x:v>Source / Artifact</x:v>
      </x:c>
      <x:c r="B4" s="13" t="str">
        <x:v>Used For</x:v>
      </x:c>
      <x:c r="C4" s="13" t="str">
        <x:v>Notes</x:v>
      </x:c>
    </x:row>
    <x:row r="5">
      <x:c r="A5" s="7" t="str">
        <x:v>workflows/cul-01-vision-purpose/source/URC-CUL-01_Vision_Purpose.md</x:v>
      </x:c>
      <x:c r="B5" s="7" t="str">
        <x:v>Mission, vision, offer prices, zero outside investment / debt historical note</x:v>
      </x:c>
      <x:c r="C5" s="7" t="str">
        <x:v>March 2026 source; current debt/cash status should still be confirmed.</x:v>
      </x:c>
    </x:row>
    <x:row r="6">
      <x:c r="A6" s="7" t="str">
        <x:v>workflows/marketing-founder-signal-system/offer-one-pager.md</x:v>
      </x:c>
      <x:c r="B6" s="7" t="str">
        <x:v>Founder Signal setup sprint price and scope</x:v>
      </x:c>
      <x:c r="C6" s="7" t="str">
        <x:v>$1,000 one-time setup target.</x:v>
      </x:c>
    </x:row>
    <x:row r="7">
      <x:c r="A7" s="7" t="str">
        <x:v>docs/operations/urc-v1-operating-architecture.md</x:v>
      </x:c>
      <x:c r="B7" s="7" t="str">
        <x:v>Finance system role and tool architecture</x:v>
      </x:c>
      <x:c r="C7" s="7" t="str">
        <x:v>Frappe as finance system of record; low-cost bridge posture.</x:v>
      </x:c>
    </x:row>
    <x:row r="8">
      <x:c r="A8" s="7" t="str">
        <x:v>docs/operations/bootstrap-limit-threshold.md</x:v>
      </x:c>
      <x:c r="B8" s="7" t="str">
        <x:v>Tool-spend posture and revenue-before-platform rule</x:v>
      </x:c>
      <x:c r="C8" s="7" t="str">
        <x:v>Paid tools justified after proven bottleneck/revenue signal.</x:v>
      </x:c>
    </x:row>
    <x:row r="9">
      <x:c r="A9" s="7" t="str">
        <x:v>AI Native Agency Deepened/Finance Department/FIN01_Pricing_Expenses_Tracker.xlsx</x:v>
      </x:c>
      <x:c r="B9" s="7" t="str">
        <x:v>Expense tracker status</x:v>
      </x:c>
      <x:c r="C9" s="7" t="str">
        <x:v>Inspected; appears to be a finance workflow template, not a reconciled ledger.</x:v>
      </x:c>
    </x:row>
    <x:row r="10">
      <x:c r="A10" s="7" t="str">
        <x:v>AI Native Agency Deepened/Finance Department/FIN03_AR_AP_Tracker.xlsx</x:v>
      </x:c>
      <x:c r="B10" s="7" t="str">
        <x:v>AR/AP tracker status</x:v>
      </x:c>
      <x:c r="C10" s="7" t="str">
        <x:v>Inspected; appears to be a finance workflow template, not a reconciled live AR/AP ledger.</x:v>
      </x:c>
    </x:row>
    <x:row r="11">
      <x:c r="A11" s="7" t="str">
        <x:v>AI Native Agency Deepened/Finance Department/FIN06_Finance_KPI_Dashboard.xlsx</x:v>
      </x:c>
      <x:c r="B11" s="7" t="str">
        <x:v>Finance dashboard status</x:v>
      </x:c>
      <x:c r="C11" s="7" t="str">
        <x:v>Inspected; appears to be template/dashboard scaffold.</x:v>
      </x:c>
    </x:row>
    <x:row r="12">
      <x:c r="A12" s="7" t="str">
        <x:v>docs/operations/bootstrapper-uploads/urc-agent-lab-confidential-business-overview.md</x:v>
      </x:c>
      <x:c r="B12" s="7" t="str">
        <x:v>Business context</x:v>
      </x:c>
      <x:c r="C12" s="7" t="str">
        <x:v>Used for business model and offer ladder context.</x:v>
      </x:c>
    </x:row>
    <x:row r="13">
      <x:c r="A13" s="7" t="str">
        <x:v>User direction on 2026-05-24</x:v>
      </x:c>
      <x:c r="B13" s="7" t="str">
        <x:v>Scope selection</x:v>
      </x:c>
      <x:c r="C13" s="7" t="str">
        <x:v>Requested best-available Current Financial Position Summary and Cash Flow Projection only.</x:v>
      </x:c>
    </x:row>
  </x:sheetData>
  <x:pageMargins left="0.7" right="0.7" top="0.75" bottom="0.75" header="0.3" footer="0.3"/>
</x:worksheet>
</file>